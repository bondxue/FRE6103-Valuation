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3" codeName="{83B8AF0C-AF01-CA8F-8D1D-96F9A44741E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enghengxue/Desktop/valuation/homework/"/>
    </mc:Choice>
  </mc:AlternateContent>
  <xr:revisionPtr revIDLastSave="0" documentId="13_ncr:1_{0DBDBCC1-8B41-1145-A608-2672C50573BE}" xr6:coauthVersionLast="45" xr6:coauthVersionMax="45" xr10:uidLastSave="{00000000-0000-0000-0000-000000000000}"/>
  <bookViews>
    <workbookView xWindow="-1560" yWindow="-20480" windowWidth="17440" windowHeight="17620" activeTab="1" xr2:uid="{1E497134-F640-8744-936F-AE14CA89FEBE}"/>
  </bookViews>
  <sheets>
    <sheet name="Exercise A" sheetId="1" r:id="rId1"/>
    <sheet name="Exercise B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" i="2" l="1"/>
  <c r="H8" i="2" a="1"/>
  <c r="B7" i="2" a="1"/>
  <c r="B17" i="2" a="1"/>
  <c r="E16" i="2" a="1"/>
  <c r="H8" i="2" l="1"/>
  <c r="B7" i="2"/>
  <c r="B17" i="2"/>
  <c r="E16" i="2"/>
  <c r="E6" i="2" a="1"/>
  <c r="E6" i="2" l="1"/>
  <c r="C7" i="1" l="1"/>
  <c r="D6" i="1"/>
  <c r="E6" i="1" s="1"/>
  <c r="F6" i="1" s="1"/>
  <c r="G6" i="1" s="1"/>
  <c r="H6" i="1" s="1"/>
  <c r="I6" i="1" s="1"/>
  <c r="J6" i="1" s="1"/>
  <c r="K6" i="1" s="1"/>
  <c r="L6" i="1" s="1"/>
  <c r="M6" i="1" s="1"/>
  <c r="M7" i="1" s="1"/>
  <c r="B8" i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K47" i="1" s="1"/>
  <c r="C37" i="1" l="1"/>
  <c r="D46" i="1"/>
  <c r="L42" i="1"/>
  <c r="F41" i="1"/>
  <c r="H40" i="1"/>
  <c r="J39" i="1"/>
  <c r="L38" i="1"/>
  <c r="D38" i="1"/>
  <c r="F37" i="1"/>
  <c r="H36" i="1"/>
  <c r="J35" i="1"/>
  <c r="L34" i="1"/>
  <c r="D34" i="1"/>
  <c r="F33" i="1"/>
  <c r="H32" i="1"/>
  <c r="J31" i="1"/>
  <c r="L30" i="1"/>
  <c r="D30" i="1"/>
  <c r="F29" i="1"/>
  <c r="H28" i="1"/>
  <c r="J27" i="1"/>
  <c r="L26" i="1"/>
  <c r="D26" i="1"/>
  <c r="F25" i="1"/>
  <c r="H24" i="1"/>
  <c r="J23" i="1"/>
  <c r="L22" i="1"/>
  <c r="D22" i="1"/>
  <c r="F21" i="1"/>
  <c r="H20" i="1"/>
  <c r="J19" i="1"/>
  <c r="L18" i="1"/>
  <c r="D18" i="1"/>
  <c r="F17" i="1"/>
  <c r="H16" i="1"/>
  <c r="J15" i="1"/>
  <c r="L14" i="1"/>
  <c r="D14" i="1"/>
  <c r="F13" i="1"/>
  <c r="H12" i="1"/>
  <c r="J11" i="1"/>
  <c r="L10" i="1"/>
  <c r="D10" i="1"/>
  <c r="F9" i="1"/>
  <c r="H8" i="1"/>
  <c r="J7" i="1"/>
  <c r="C22" i="1"/>
  <c r="J47" i="1"/>
  <c r="H44" i="1"/>
  <c r="C36" i="1"/>
  <c r="K46" i="1"/>
  <c r="E45" i="1"/>
  <c r="I43" i="1"/>
  <c r="K42" i="1"/>
  <c r="M41" i="1"/>
  <c r="G40" i="1"/>
  <c r="I39" i="1"/>
  <c r="K38" i="1"/>
  <c r="M37" i="1"/>
  <c r="E37" i="1"/>
  <c r="G36" i="1"/>
  <c r="I35" i="1"/>
  <c r="K34" i="1"/>
  <c r="E33" i="1"/>
  <c r="G32" i="1"/>
  <c r="I31" i="1"/>
  <c r="K30" i="1"/>
  <c r="M29" i="1"/>
  <c r="E29" i="1"/>
  <c r="G28" i="1"/>
  <c r="I27" i="1"/>
  <c r="K26" i="1"/>
  <c r="M25" i="1"/>
  <c r="E25" i="1"/>
  <c r="G24" i="1"/>
  <c r="I23" i="1"/>
  <c r="K22" i="1"/>
  <c r="M21" i="1"/>
  <c r="E21" i="1"/>
  <c r="G20" i="1"/>
  <c r="I19" i="1"/>
  <c r="K18" i="1"/>
  <c r="M17" i="1"/>
  <c r="E17" i="1"/>
  <c r="G16" i="1"/>
  <c r="I15" i="1"/>
  <c r="K14" i="1"/>
  <c r="M13" i="1"/>
  <c r="E13" i="1"/>
  <c r="G12" i="1"/>
  <c r="I11" i="1"/>
  <c r="K10" i="1"/>
  <c r="M9" i="1"/>
  <c r="E9" i="1"/>
  <c r="G8" i="1"/>
  <c r="I7" i="1"/>
  <c r="C14" i="1"/>
  <c r="L46" i="1"/>
  <c r="F45" i="1"/>
  <c r="C13" i="1"/>
  <c r="I47" i="1"/>
  <c r="M45" i="1"/>
  <c r="G44" i="1"/>
  <c r="E41" i="1"/>
  <c r="M33" i="1"/>
  <c r="C20" i="1"/>
  <c r="C12" i="1"/>
  <c r="C43" i="1"/>
  <c r="C35" i="1"/>
  <c r="C27" i="1"/>
  <c r="H47" i="1"/>
  <c r="J46" i="1"/>
  <c r="L45" i="1"/>
  <c r="D45" i="1"/>
  <c r="F44" i="1"/>
  <c r="H43" i="1"/>
  <c r="J42" i="1"/>
  <c r="L41" i="1"/>
  <c r="D41" i="1"/>
  <c r="F40" i="1"/>
  <c r="H39" i="1"/>
  <c r="J38" i="1"/>
  <c r="L37" i="1"/>
  <c r="D37" i="1"/>
  <c r="F36" i="1"/>
  <c r="H35" i="1"/>
  <c r="J34" i="1"/>
  <c r="L33" i="1"/>
  <c r="D33" i="1"/>
  <c r="F32" i="1"/>
  <c r="H31" i="1"/>
  <c r="J30" i="1"/>
  <c r="L29" i="1"/>
  <c r="D29" i="1"/>
  <c r="F28" i="1"/>
  <c r="H27" i="1"/>
  <c r="J26" i="1"/>
  <c r="L25" i="1"/>
  <c r="D25" i="1"/>
  <c r="F24" i="1"/>
  <c r="H23" i="1"/>
  <c r="J22" i="1"/>
  <c r="L21" i="1"/>
  <c r="D21" i="1"/>
  <c r="F20" i="1"/>
  <c r="H19" i="1"/>
  <c r="J18" i="1"/>
  <c r="L17" i="1"/>
  <c r="D17" i="1"/>
  <c r="F16" i="1"/>
  <c r="H15" i="1"/>
  <c r="J14" i="1"/>
  <c r="L13" i="1"/>
  <c r="D13" i="1"/>
  <c r="F12" i="1"/>
  <c r="H11" i="1"/>
  <c r="J10" i="1"/>
  <c r="L9" i="1"/>
  <c r="D9" i="1"/>
  <c r="F8" i="1"/>
  <c r="H7" i="1"/>
  <c r="C19" i="1"/>
  <c r="C11" i="1"/>
  <c r="C42" i="1"/>
  <c r="C34" i="1"/>
  <c r="C26" i="1"/>
  <c r="G47" i="1"/>
  <c r="I46" i="1"/>
  <c r="K45" i="1"/>
  <c r="M44" i="1"/>
  <c r="E44" i="1"/>
  <c r="G43" i="1"/>
  <c r="I42" i="1"/>
  <c r="K41" i="1"/>
  <c r="M40" i="1"/>
  <c r="E40" i="1"/>
  <c r="G39" i="1"/>
  <c r="I38" i="1"/>
  <c r="K37" i="1"/>
  <c r="M36" i="1"/>
  <c r="E36" i="1"/>
  <c r="G35" i="1"/>
  <c r="I34" i="1"/>
  <c r="K33" i="1"/>
  <c r="M32" i="1"/>
  <c r="E32" i="1"/>
  <c r="G31" i="1"/>
  <c r="I30" i="1"/>
  <c r="K29" i="1"/>
  <c r="M28" i="1"/>
  <c r="E28" i="1"/>
  <c r="G27" i="1"/>
  <c r="I26" i="1"/>
  <c r="K25" i="1"/>
  <c r="M24" i="1"/>
  <c r="E24" i="1"/>
  <c r="G23" i="1"/>
  <c r="I22" i="1"/>
  <c r="K21" i="1"/>
  <c r="M20" i="1"/>
  <c r="E20" i="1"/>
  <c r="G19" i="1"/>
  <c r="I18" i="1"/>
  <c r="K17" i="1"/>
  <c r="M16" i="1"/>
  <c r="E16" i="1"/>
  <c r="G15" i="1"/>
  <c r="I14" i="1"/>
  <c r="K13" i="1"/>
  <c r="M12" i="1"/>
  <c r="E12" i="1"/>
  <c r="G11" i="1"/>
  <c r="I10" i="1"/>
  <c r="K9" i="1"/>
  <c r="M8" i="1"/>
  <c r="E8" i="1"/>
  <c r="G7" i="1"/>
  <c r="C18" i="1"/>
  <c r="C9" i="1"/>
  <c r="C41" i="1"/>
  <c r="C33" i="1"/>
  <c r="C25" i="1"/>
  <c r="F47" i="1"/>
  <c r="H46" i="1"/>
  <c r="J45" i="1"/>
  <c r="L44" i="1"/>
  <c r="D44" i="1"/>
  <c r="F43" i="1"/>
  <c r="H42" i="1"/>
  <c r="J41" i="1"/>
  <c r="L40" i="1"/>
  <c r="D40" i="1"/>
  <c r="F39" i="1"/>
  <c r="H38" i="1"/>
  <c r="J37" i="1"/>
  <c r="L36" i="1"/>
  <c r="D36" i="1"/>
  <c r="F35" i="1"/>
  <c r="H34" i="1"/>
  <c r="J33" i="1"/>
  <c r="L32" i="1"/>
  <c r="D32" i="1"/>
  <c r="F31" i="1"/>
  <c r="H30" i="1"/>
  <c r="J29" i="1"/>
  <c r="L28" i="1"/>
  <c r="D28" i="1"/>
  <c r="F27" i="1"/>
  <c r="H26" i="1"/>
  <c r="J25" i="1"/>
  <c r="L24" i="1"/>
  <c r="D24" i="1"/>
  <c r="F23" i="1"/>
  <c r="H22" i="1"/>
  <c r="J21" i="1"/>
  <c r="L20" i="1"/>
  <c r="D20" i="1"/>
  <c r="F19" i="1"/>
  <c r="H18" i="1"/>
  <c r="J17" i="1"/>
  <c r="L16" i="1"/>
  <c r="D16" i="1"/>
  <c r="F15" i="1"/>
  <c r="H14" i="1"/>
  <c r="J13" i="1"/>
  <c r="L12" i="1"/>
  <c r="D12" i="1"/>
  <c r="F11" i="1"/>
  <c r="H10" i="1"/>
  <c r="J9" i="1"/>
  <c r="L8" i="1"/>
  <c r="D8" i="1"/>
  <c r="F7" i="1"/>
  <c r="C45" i="1"/>
  <c r="D42" i="1"/>
  <c r="C44" i="1"/>
  <c r="C8" i="1"/>
  <c r="E47" i="1"/>
  <c r="I45" i="1"/>
  <c r="M43" i="1"/>
  <c r="G42" i="1"/>
  <c r="M39" i="1"/>
  <c r="G38" i="1"/>
  <c r="M35" i="1"/>
  <c r="G34" i="1"/>
  <c r="K32" i="1"/>
  <c r="E31" i="1"/>
  <c r="G30" i="1"/>
  <c r="I29" i="1"/>
  <c r="K28" i="1"/>
  <c r="E27" i="1"/>
  <c r="G26" i="1"/>
  <c r="I25" i="1"/>
  <c r="K24" i="1"/>
  <c r="M23" i="1"/>
  <c r="E23" i="1"/>
  <c r="G22" i="1"/>
  <c r="I21" i="1"/>
  <c r="K20" i="1"/>
  <c r="M19" i="1"/>
  <c r="E19" i="1"/>
  <c r="I17" i="1"/>
  <c r="K16" i="1"/>
  <c r="M15" i="1"/>
  <c r="E15" i="1"/>
  <c r="G14" i="1"/>
  <c r="I13" i="1"/>
  <c r="K12" i="1"/>
  <c r="M11" i="1"/>
  <c r="E11" i="1"/>
  <c r="G10" i="1"/>
  <c r="I9" i="1"/>
  <c r="K8" i="1"/>
  <c r="E7" i="1"/>
  <c r="C29" i="1"/>
  <c r="J43" i="1"/>
  <c r="C21" i="1"/>
  <c r="C28" i="1"/>
  <c r="C17" i="1"/>
  <c r="C40" i="1"/>
  <c r="M47" i="1"/>
  <c r="G46" i="1"/>
  <c r="K44" i="1"/>
  <c r="E43" i="1"/>
  <c r="I41" i="1"/>
  <c r="K40" i="1"/>
  <c r="E39" i="1"/>
  <c r="I37" i="1"/>
  <c r="K36" i="1"/>
  <c r="E35" i="1"/>
  <c r="I33" i="1"/>
  <c r="M31" i="1"/>
  <c r="M27" i="1"/>
  <c r="G18" i="1"/>
  <c r="C24" i="1"/>
  <c r="C16" i="1"/>
  <c r="C47" i="1"/>
  <c r="C39" i="1"/>
  <c r="C31" i="1"/>
  <c r="L47" i="1"/>
  <c r="D47" i="1"/>
  <c r="F46" i="1"/>
  <c r="H45" i="1"/>
  <c r="J44" i="1"/>
  <c r="L43" i="1"/>
  <c r="D43" i="1"/>
  <c r="F42" i="1"/>
  <c r="H41" i="1"/>
  <c r="J40" i="1"/>
  <c r="L39" i="1"/>
  <c r="D39" i="1"/>
  <c r="F38" i="1"/>
  <c r="H37" i="1"/>
  <c r="J36" i="1"/>
  <c r="L35" i="1"/>
  <c r="D35" i="1"/>
  <c r="F34" i="1"/>
  <c r="H33" i="1"/>
  <c r="J32" i="1"/>
  <c r="L31" i="1"/>
  <c r="D31" i="1"/>
  <c r="F30" i="1"/>
  <c r="H29" i="1"/>
  <c r="J28" i="1"/>
  <c r="L27" i="1"/>
  <c r="D27" i="1"/>
  <c r="F26" i="1"/>
  <c r="H25" i="1"/>
  <c r="J24" i="1"/>
  <c r="L23" i="1"/>
  <c r="D23" i="1"/>
  <c r="F22" i="1"/>
  <c r="H21" i="1"/>
  <c r="J20" i="1"/>
  <c r="L19" i="1"/>
  <c r="D19" i="1"/>
  <c r="F18" i="1"/>
  <c r="H17" i="1"/>
  <c r="J16" i="1"/>
  <c r="L15" i="1"/>
  <c r="D15" i="1"/>
  <c r="F14" i="1"/>
  <c r="H13" i="1"/>
  <c r="J12" i="1"/>
  <c r="L11" i="1"/>
  <c r="D11" i="1"/>
  <c r="F10" i="1"/>
  <c r="H9" i="1"/>
  <c r="J8" i="1"/>
  <c r="L7" i="1"/>
  <c r="D7" i="1"/>
  <c r="C32" i="1"/>
  <c r="C23" i="1"/>
  <c r="C15" i="1"/>
  <c r="C46" i="1"/>
  <c r="C38" i="1"/>
  <c r="C30" i="1"/>
  <c r="M46" i="1"/>
  <c r="E46" i="1"/>
  <c r="G45" i="1"/>
  <c r="I44" i="1"/>
  <c r="K43" i="1"/>
  <c r="M42" i="1"/>
  <c r="E42" i="1"/>
  <c r="G41" i="1"/>
  <c r="I40" i="1"/>
  <c r="K39" i="1"/>
  <c r="M38" i="1"/>
  <c r="E38" i="1"/>
  <c r="G37" i="1"/>
  <c r="I36" i="1"/>
  <c r="K35" i="1"/>
  <c r="M34" i="1"/>
  <c r="E34" i="1"/>
  <c r="G33" i="1"/>
  <c r="I32" i="1"/>
  <c r="K31" i="1"/>
  <c r="M30" i="1"/>
  <c r="E30" i="1"/>
  <c r="G29" i="1"/>
  <c r="I28" i="1"/>
  <c r="K27" i="1"/>
  <c r="M26" i="1"/>
  <c r="E26" i="1"/>
  <c r="G25" i="1"/>
  <c r="I24" i="1"/>
  <c r="K23" i="1"/>
  <c r="M22" i="1"/>
  <c r="E22" i="1"/>
  <c r="G21" i="1"/>
  <c r="I20" i="1"/>
  <c r="K19" i="1"/>
  <c r="M18" i="1"/>
  <c r="E18" i="1"/>
  <c r="G17" i="1"/>
  <c r="I16" i="1"/>
  <c r="K15" i="1"/>
  <c r="M14" i="1"/>
  <c r="E14" i="1"/>
  <c r="G13" i="1"/>
  <c r="I12" i="1"/>
  <c r="K11" i="1"/>
  <c r="M10" i="1"/>
  <c r="E10" i="1"/>
  <c r="G9" i="1"/>
  <c r="I8" i="1"/>
  <c r="K7" i="1"/>
  <c r="C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<sst xmlns="http://schemas.openxmlformats.org/spreadsheetml/2006/main" count="40" uniqueCount="25">
  <si>
    <t>Face value</t>
  </si>
  <si>
    <t xml:space="preserve">Bond terms (years) </t>
  </si>
  <si>
    <t xml:space="preserve">Discount rates </t>
  </si>
  <si>
    <t xml:space="preserve">Coupon rates </t>
  </si>
  <si>
    <t>C</t>
  </si>
  <si>
    <t>n</t>
  </si>
  <si>
    <t>r</t>
  </si>
  <si>
    <t>Vn</t>
  </si>
  <si>
    <t>s</t>
  </si>
  <si>
    <t>PVA</t>
  </si>
  <si>
    <t>C1</t>
  </si>
  <si>
    <t>g</t>
  </si>
  <si>
    <t>PVGA</t>
  </si>
  <si>
    <t>test PVA:</t>
  </si>
  <si>
    <t>test PVGA:</t>
  </si>
  <si>
    <t>test PVLGP:</t>
  </si>
  <si>
    <t>a</t>
  </si>
  <si>
    <t>b</t>
  </si>
  <si>
    <t>PVLGP</t>
  </si>
  <si>
    <t>test PVLGA:</t>
  </si>
  <si>
    <t>PVLGA</t>
  </si>
  <si>
    <t>test PVMRA:</t>
  </si>
  <si>
    <t>mu</t>
  </si>
  <si>
    <t>kappa</t>
  </si>
  <si>
    <t>PVMRA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</si>
</sst>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%"/>
  </numFmts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0" fontId="0" fillId="0" borderId="0" xfId="0" applyNumberFormat="1"/>
    <xf numFmtId="164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Bond</a:t>
            </a:r>
            <a:r>
              <a:rPr lang="zh-CN" altLang="en-US" baseline="0"/>
              <a:t> </a:t>
            </a:r>
            <a:r>
              <a:rPr lang="en-US" altLang="zh-CN" baseline="0"/>
              <a:t>Prices</a:t>
            </a:r>
            <a:r>
              <a:rPr lang="zh-CN" altLang="en-US" baseline="0"/>
              <a:t> </a:t>
            </a:r>
            <a:r>
              <a:rPr lang="en-US" altLang="zh-CN" baseline="0"/>
              <a:t>by</a:t>
            </a:r>
            <a:r>
              <a:rPr lang="zh-CN" altLang="en-US" baseline="0"/>
              <a:t> </a:t>
            </a:r>
            <a:r>
              <a:rPr lang="en-US" altLang="zh-CN" baseline="0"/>
              <a:t>Discount</a:t>
            </a:r>
            <a:r>
              <a:rPr lang="zh-CN" altLang="en-US" baseline="0"/>
              <a:t> </a:t>
            </a:r>
            <a:r>
              <a:rPr lang="en-US" altLang="zh-CN" baseline="0"/>
              <a:t>Rat,</a:t>
            </a:r>
            <a:r>
              <a:rPr lang="zh-CN" altLang="en-US" baseline="0"/>
              <a:t> </a:t>
            </a:r>
            <a:r>
              <a:rPr lang="en-US" altLang="zh-CN" baseline="0"/>
              <a:t>Coupon</a:t>
            </a:r>
            <a:r>
              <a:rPr lang="zh-CN" altLang="en-US" baseline="0"/>
              <a:t> </a:t>
            </a:r>
            <a:r>
              <a:rPr lang="en-US" altLang="zh-CN" baseline="0"/>
              <a:t>0-10%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'Exercise A'!$C$6</c:f>
              <c:strCache>
                <c:ptCount val="1"/>
                <c:pt idx="0">
                  <c:v>0.00%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'Exercise A'!$B$7:$B$47</c:f>
              <c:numCache>
                <c:formatCode>0.00%</c:formatCode>
                <c:ptCount val="41"/>
                <c:pt idx="0">
                  <c:v>0</c:v>
                </c:pt>
                <c:pt idx="1">
                  <c:v>2.5000000000000001E-3</c:v>
                </c:pt>
                <c:pt idx="2">
                  <c:v>5.0000000000000001E-3</c:v>
                </c:pt>
                <c:pt idx="3">
                  <c:v>7.4999999999999997E-3</c:v>
                </c:pt>
                <c:pt idx="4">
                  <c:v>0.01</c:v>
                </c:pt>
                <c:pt idx="5">
                  <c:v>1.2500000000000001E-2</c:v>
                </c:pt>
                <c:pt idx="6">
                  <c:v>1.5000000000000001E-2</c:v>
                </c:pt>
                <c:pt idx="7">
                  <c:v>1.7500000000000002E-2</c:v>
                </c:pt>
                <c:pt idx="8">
                  <c:v>0.02</c:v>
                </c:pt>
                <c:pt idx="9">
                  <c:v>2.2499999999999999E-2</c:v>
                </c:pt>
                <c:pt idx="10">
                  <c:v>2.4999999999999998E-2</c:v>
                </c:pt>
                <c:pt idx="11">
                  <c:v>2.7499999999999997E-2</c:v>
                </c:pt>
                <c:pt idx="12">
                  <c:v>2.9999999999999995E-2</c:v>
                </c:pt>
                <c:pt idx="13">
                  <c:v>3.2499999999999994E-2</c:v>
                </c:pt>
                <c:pt idx="14">
                  <c:v>3.4999999999999996E-2</c:v>
                </c:pt>
                <c:pt idx="15">
                  <c:v>3.7499999999999999E-2</c:v>
                </c:pt>
                <c:pt idx="16">
                  <c:v>0.04</c:v>
                </c:pt>
                <c:pt idx="17">
                  <c:v>4.2500000000000003E-2</c:v>
                </c:pt>
                <c:pt idx="18">
                  <c:v>4.5000000000000005E-2</c:v>
                </c:pt>
                <c:pt idx="19">
                  <c:v>4.7500000000000007E-2</c:v>
                </c:pt>
                <c:pt idx="20">
                  <c:v>5.000000000000001E-2</c:v>
                </c:pt>
                <c:pt idx="21">
                  <c:v>5.2500000000000012E-2</c:v>
                </c:pt>
                <c:pt idx="22">
                  <c:v>5.5000000000000014E-2</c:v>
                </c:pt>
                <c:pt idx="23">
                  <c:v>5.7500000000000016E-2</c:v>
                </c:pt>
                <c:pt idx="24">
                  <c:v>6.0000000000000019E-2</c:v>
                </c:pt>
                <c:pt idx="25">
                  <c:v>6.2500000000000014E-2</c:v>
                </c:pt>
                <c:pt idx="26">
                  <c:v>6.5000000000000016E-2</c:v>
                </c:pt>
                <c:pt idx="27">
                  <c:v>6.7500000000000018E-2</c:v>
                </c:pt>
                <c:pt idx="28">
                  <c:v>7.0000000000000021E-2</c:v>
                </c:pt>
                <c:pt idx="29">
                  <c:v>7.2500000000000023E-2</c:v>
                </c:pt>
                <c:pt idx="30">
                  <c:v>7.5000000000000025E-2</c:v>
                </c:pt>
                <c:pt idx="31">
                  <c:v>7.7500000000000027E-2</c:v>
                </c:pt>
                <c:pt idx="32">
                  <c:v>8.0000000000000029E-2</c:v>
                </c:pt>
                <c:pt idx="33">
                  <c:v>8.2500000000000032E-2</c:v>
                </c:pt>
                <c:pt idx="34">
                  <c:v>8.5000000000000034E-2</c:v>
                </c:pt>
                <c:pt idx="35">
                  <c:v>8.7500000000000036E-2</c:v>
                </c:pt>
                <c:pt idx="36">
                  <c:v>9.0000000000000038E-2</c:v>
                </c:pt>
                <c:pt idx="37">
                  <c:v>9.2500000000000041E-2</c:v>
                </c:pt>
                <c:pt idx="38">
                  <c:v>9.5000000000000043E-2</c:v>
                </c:pt>
                <c:pt idx="39">
                  <c:v>9.7500000000000045E-2</c:v>
                </c:pt>
                <c:pt idx="40">
                  <c:v>0.10000000000000005</c:v>
                </c:pt>
              </c:numCache>
            </c:numRef>
          </c:cat>
          <c:val>
            <c:numRef>
              <c:f>'Exercise A'!$C$7:$C$47</c:f>
              <c:numCache>
                <c:formatCode>0</c:formatCode>
                <c:ptCount val="41"/>
                <c:pt idx="0">
                  <c:v>1000</c:v>
                </c:pt>
                <c:pt idx="1">
                  <c:v>975.34034023539516</c:v>
                </c:pt>
                <c:pt idx="2">
                  <c:v>951.34794069607017</c:v>
                </c:pt>
                <c:pt idx="3">
                  <c:v>928.0031531720399</c:v>
                </c:pt>
                <c:pt idx="4">
                  <c:v>905.28695469298304</c:v>
                </c:pt>
                <c:pt idx="5">
                  <c:v>883.18092615396768</c:v>
                </c:pt>
                <c:pt idx="6">
                  <c:v>861.66723172218462</c:v>
                </c:pt>
                <c:pt idx="7">
                  <c:v>840.72859899427101</c:v>
                </c:pt>
                <c:pt idx="8">
                  <c:v>820.34829987515525</c:v>
                </c:pt>
                <c:pt idx="9">
                  <c:v>800.51013215045737</c:v>
                </c:pt>
                <c:pt idx="10">
                  <c:v>781.19840172572708</c:v>
                </c:pt>
                <c:pt idx="11">
                  <c:v>762.39790550680982</c:v>
                </c:pt>
                <c:pt idx="12">
                  <c:v>744.09391489672521</c:v>
                </c:pt>
                <c:pt idx="13">
                  <c:v>726.27215988542321</c:v>
                </c:pt>
                <c:pt idx="14">
                  <c:v>708.91881370977217</c:v>
                </c:pt>
                <c:pt idx="15">
                  <c:v>692.0204780620071</c:v>
                </c:pt>
                <c:pt idx="16">
                  <c:v>675.56416882579856</c:v>
                </c:pt>
                <c:pt idx="17">
                  <c:v>659.53730231987822</c:v>
                </c:pt>
                <c:pt idx="18">
                  <c:v>643.92768203004323</c:v>
                </c:pt>
                <c:pt idx="19">
                  <c:v>628.72348581105655</c:v>
                </c:pt>
                <c:pt idx="20">
                  <c:v>613.91325354075934</c:v>
                </c:pt>
                <c:pt idx="21">
                  <c:v>599.48587520935848</c:v>
                </c:pt>
                <c:pt idx="22">
                  <c:v>585.43057942760709</c:v>
                </c:pt>
                <c:pt idx="23">
                  <c:v>571.73692233816644</c:v>
                </c:pt>
                <c:pt idx="24">
                  <c:v>558.39477691511786</c:v>
                </c:pt>
                <c:pt idx="25">
                  <c:v>545.39432263714582</c:v>
                </c:pt>
                <c:pt idx="26">
                  <c:v>532.72603552052897</c:v>
                </c:pt>
                <c:pt idx="27">
                  <c:v>520.38067849857703</c:v>
                </c:pt>
                <c:pt idx="28">
                  <c:v>508.34929213471781</c:v>
                </c:pt>
                <c:pt idx="29">
                  <c:v>496.62318565689264</c:v>
                </c:pt>
                <c:pt idx="30">
                  <c:v>485.19392830146438</c:v>
                </c:pt>
                <c:pt idx="31">
                  <c:v>474.05334095523767</c:v>
                </c:pt>
                <c:pt idx="32">
                  <c:v>463.19348808468425</c:v>
                </c:pt>
                <c:pt idx="33">
                  <c:v>452.60666994185436</c:v>
                </c:pt>
                <c:pt idx="34">
                  <c:v>442.2854150368953</c:v>
                </c:pt>
                <c:pt idx="35">
                  <c:v>432.22247286746136</c:v>
                </c:pt>
                <c:pt idx="36">
                  <c:v>422.41080689568889</c:v>
                </c:pt>
                <c:pt idx="37">
                  <c:v>412.84358776376132</c:v>
                </c:pt>
                <c:pt idx="38">
                  <c:v>403.51418673944443</c:v>
                </c:pt>
                <c:pt idx="39">
                  <c:v>394.41616938328929</c:v>
                </c:pt>
                <c:pt idx="40">
                  <c:v>385.54328942953146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E5-D249-84D0-2B2C5F7047FF}"/>
            </c:ext>
          </c:extLst>
        </c:ser>
        <c:ser>
          <c:idx val="1"/>
          <c:order val="1"/>
          <c:tx>
            <c:strRef>
              <c:f>'Exercise A'!$D$6</c:f>
              <c:strCache>
                <c:ptCount val="1"/>
                <c:pt idx="0">
                  <c:v>1.00%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'Exercise A'!$B$7:$B$47</c:f>
              <c:numCache>
                <c:formatCode>0.00%</c:formatCode>
                <c:ptCount val="41"/>
                <c:pt idx="0">
                  <c:v>0</c:v>
                </c:pt>
                <c:pt idx="1">
                  <c:v>2.5000000000000001E-3</c:v>
                </c:pt>
                <c:pt idx="2">
                  <c:v>5.0000000000000001E-3</c:v>
                </c:pt>
                <c:pt idx="3">
                  <c:v>7.4999999999999997E-3</c:v>
                </c:pt>
                <c:pt idx="4">
                  <c:v>0.01</c:v>
                </c:pt>
                <c:pt idx="5">
                  <c:v>1.2500000000000001E-2</c:v>
                </c:pt>
                <c:pt idx="6">
                  <c:v>1.5000000000000001E-2</c:v>
                </c:pt>
                <c:pt idx="7">
                  <c:v>1.7500000000000002E-2</c:v>
                </c:pt>
                <c:pt idx="8">
                  <c:v>0.02</c:v>
                </c:pt>
                <c:pt idx="9">
                  <c:v>2.2499999999999999E-2</c:v>
                </c:pt>
                <c:pt idx="10">
                  <c:v>2.4999999999999998E-2</c:v>
                </c:pt>
                <c:pt idx="11">
                  <c:v>2.7499999999999997E-2</c:v>
                </c:pt>
                <c:pt idx="12">
                  <c:v>2.9999999999999995E-2</c:v>
                </c:pt>
                <c:pt idx="13">
                  <c:v>3.2499999999999994E-2</c:v>
                </c:pt>
                <c:pt idx="14">
                  <c:v>3.4999999999999996E-2</c:v>
                </c:pt>
                <c:pt idx="15">
                  <c:v>3.7499999999999999E-2</c:v>
                </c:pt>
                <c:pt idx="16">
                  <c:v>0.04</c:v>
                </c:pt>
                <c:pt idx="17">
                  <c:v>4.2500000000000003E-2</c:v>
                </c:pt>
                <c:pt idx="18">
                  <c:v>4.5000000000000005E-2</c:v>
                </c:pt>
                <c:pt idx="19">
                  <c:v>4.7500000000000007E-2</c:v>
                </c:pt>
                <c:pt idx="20">
                  <c:v>5.000000000000001E-2</c:v>
                </c:pt>
                <c:pt idx="21">
                  <c:v>5.2500000000000012E-2</c:v>
                </c:pt>
                <c:pt idx="22">
                  <c:v>5.5000000000000014E-2</c:v>
                </c:pt>
                <c:pt idx="23">
                  <c:v>5.7500000000000016E-2</c:v>
                </c:pt>
                <c:pt idx="24">
                  <c:v>6.0000000000000019E-2</c:v>
                </c:pt>
                <c:pt idx="25">
                  <c:v>6.2500000000000014E-2</c:v>
                </c:pt>
                <c:pt idx="26">
                  <c:v>6.5000000000000016E-2</c:v>
                </c:pt>
                <c:pt idx="27">
                  <c:v>6.7500000000000018E-2</c:v>
                </c:pt>
                <c:pt idx="28">
                  <c:v>7.0000000000000021E-2</c:v>
                </c:pt>
                <c:pt idx="29">
                  <c:v>7.2500000000000023E-2</c:v>
                </c:pt>
                <c:pt idx="30">
                  <c:v>7.5000000000000025E-2</c:v>
                </c:pt>
                <c:pt idx="31">
                  <c:v>7.7500000000000027E-2</c:v>
                </c:pt>
                <c:pt idx="32">
                  <c:v>8.0000000000000029E-2</c:v>
                </c:pt>
                <c:pt idx="33">
                  <c:v>8.2500000000000032E-2</c:v>
                </c:pt>
                <c:pt idx="34">
                  <c:v>8.5000000000000034E-2</c:v>
                </c:pt>
                <c:pt idx="35">
                  <c:v>8.7500000000000036E-2</c:v>
                </c:pt>
                <c:pt idx="36">
                  <c:v>9.0000000000000038E-2</c:v>
                </c:pt>
                <c:pt idx="37">
                  <c:v>9.2500000000000041E-2</c:v>
                </c:pt>
                <c:pt idx="38">
                  <c:v>9.5000000000000043E-2</c:v>
                </c:pt>
                <c:pt idx="39">
                  <c:v>9.7500000000000045E-2</c:v>
                </c:pt>
                <c:pt idx="40">
                  <c:v>0.10000000000000005</c:v>
                </c:pt>
              </c:numCache>
            </c:numRef>
          </c:cat>
          <c:val>
            <c:numRef>
              <c:f>'Exercise A'!$D$7:$D$47</c:f>
              <c:numCache>
                <c:formatCode>0</c:formatCode>
                <c:ptCount val="41"/>
                <c:pt idx="0">
                  <c:v>1100</c:v>
                </c:pt>
                <c:pt idx="1">
                  <c:v>1073.9789792938145</c:v>
                </c:pt>
                <c:pt idx="2">
                  <c:v>1048.6520593039297</c:v>
                </c:pt>
                <c:pt idx="3">
                  <c:v>1023.9989489426533</c:v>
                </c:pt>
                <c:pt idx="4">
                  <c:v>1000</c:v>
                </c:pt>
                <c:pt idx="5">
                  <c:v>976.63618523079344</c:v>
                </c:pt>
                <c:pt idx="6">
                  <c:v>953.88907724072828</c:v>
                </c:pt>
                <c:pt idx="7">
                  <c:v>931.74082814040185</c:v>
                </c:pt>
                <c:pt idx="8">
                  <c:v>910.17414993757768</c:v>
                </c:pt>
                <c:pt idx="9">
                  <c:v>889.17229563914304</c:v>
                </c:pt>
                <c:pt idx="10">
                  <c:v>868.71904103543625</c:v>
                </c:pt>
                <c:pt idx="11">
                  <c:v>848.79866714069715</c:v>
                </c:pt>
                <c:pt idx="12">
                  <c:v>829.39594326448355</c:v>
                </c:pt>
                <c:pt idx="13">
                  <c:v>810.49611068990839</c:v>
                </c:pt>
                <c:pt idx="14">
                  <c:v>792.08486693555164</c:v>
                </c:pt>
                <c:pt idx="15">
                  <c:v>774.14835057880521</c:v>
                </c:pt>
                <c:pt idx="16">
                  <c:v>756.67312661934886</c:v>
                </c:pt>
                <c:pt idx="17">
                  <c:v>739.6461723622599</c:v>
                </c:pt>
                <c:pt idx="18">
                  <c:v>723.05486380114473</c:v>
                </c:pt>
                <c:pt idx="19">
                  <c:v>706.88696248241308</c:v>
                </c:pt>
                <c:pt idx="20">
                  <c:v>691.13060283260745</c:v>
                </c:pt>
                <c:pt idx="21">
                  <c:v>675.77427993138542</c:v>
                </c:pt>
                <c:pt idx="22">
                  <c:v>660.80683771349663</c:v>
                </c:pt>
                <c:pt idx="23">
                  <c:v>646.21745758370264</c:v>
                </c:pt>
                <c:pt idx="24">
                  <c:v>631.99564742926486</c:v>
                </c:pt>
                <c:pt idx="25">
                  <c:v>618.1312310152025</c:v>
                </c:pt>
                <c:pt idx="26">
                  <c:v>604.61433774813986</c:v>
                </c:pt>
                <c:pt idx="27">
                  <c:v>591.435392795084</c:v>
                </c:pt>
                <c:pt idx="28">
                  <c:v>578.58510754404381</c:v>
                </c:pt>
                <c:pt idx="29">
                  <c:v>566.05447039387298</c:v>
                </c:pt>
                <c:pt idx="30">
                  <c:v>553.8347378612691</c:v>
                </c:pt>
                <c:pt idx="31">
                  <c:v>541.91742599327154</c:v>
                </c:pt>
                <c:pt idx="32">
                  <c:v>530.29430207409871</c:v>
                </c:pt>
                <c:pt idx="33">
                  <c:v>518.95737661556893</c:v>
                </c:pt>
                <c:pt idx="34">
                  <c:v>507.89889562078992</c:v>
                </c:pt>
                <c:pt idx="35">
                  <c:v>497.11133311118004</c:v>
                </c:pt>
                <c:pt idx="36">
                  <c:v>486.58738390727905</c:v>
                </c:pt>
                <c:pt idx="37">
                  <c:v>476.31995665416554</c:v>
                </c:pt>
                <c:pt idx="38">
                  <c:v>466.30216708266073</c:v>
                </c:pt>
                <c:pt idx="39">
                  <c:v>456.5273314978237</c:v>
                </c:pt>
                <c:pt idx="40">
                  <c:v>446.98896048657832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E5-D249-84D0-2B2C5F7047FF}"/>
            </c:ext>
          </c:extLst>
        </c:ser>
        <c:ser>
          <c:idx val="2"/>
          <c:order val="2"/>
          <c:tx>
            <c:strRef>
              <c:f>'Exercise A'!$E$6</c:f>
              <c:strCache>
                <c:ptCount val="1"/>
                <c:pt idx="0">
                  <c:v>2.00%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'Exercise A'!$B$7:$B$47</c:f>
              <c:numCache>
                <c:formatCode>0.00%</c:formatCode>
                <c:ptCount val="41"/>
                <c:pt idx="0">
                  <c:v>0</c:v>
                </c:pt>
                <c:pt idx="1">
                  <c:v>2.5000000000000001E-3</c:v>
                </c:pt>
                <c:pt idx="2">
                  <c:v>5.0000000000000001E-3</c:v>
                </c:pt>
                <c:pt idx="3">
                  <c:v>7.4999999999999997E-3</c:v>
                </c:pt>
                <c:pt idx="4">
                  <c:v>0.01</c:v>
                </c:pt>
                <c:pt idx="5">
                  <c:v>1.2500000000000001E-2</c:v>
                </c:pt>
                <c:pt idx="6">
                  <c:v>1.5000000000000001E-2</c:v>
                </c:pt>
                <c:pt idx="7">
                  <c:v>1.7500000000000002E-2</c:v>
                </c:pt>
                <c:pt idx="8">
                  <c:v>0.02</c:v>
                </c:pt>
                <c:pt idx="9">
                  <c:v>2.2499999999999999E-2</c:v>
                </c:pt>
                <c:pt idx="10">
                  <c:v>2.4999999999999998E-2</c:v>
                </c:pt>
                <c:pt idx="11">
                  <c:v>2.7499999999999997E-2</c:v>
                </c:pt>
                <c:pt idx="12">
                  <c:v>2.9999999999999995E-2</c:v>
                </c:pt>
                <c:pt idx="13">
                  <c:v>3.2499999999999994E-2</c:v>
                </c:pt>
                <c:pt idx="14">
                  <c:v>3.4999999999999996E-2</c:v>
                </c:pt>
                <c:pt idx="15">
                  <c:v>3.7499999999999999E-2</c:v>
                </c:pt>
                <c:pt idx="16">
                  <c:v>0.04</c:v>
                </c:pt>
                <c:pt idx="17">
                  <c:v>4.2500000000000003E-2</c:v>
                </c:pt>
                <c:pt idx="18">
                  <c:v>4.5000000000000005E-2</c:v>
                </c:pt>
                <c:pt idx="19">
                  <c:v>4.7500000000000007E-2</c:v>
                </c:pt>
                <c:pt idx="20">
                  <c:v>5.000000000000001E-2</c:v>
                </c:pt>
                <c:pt idx="21">
                  <c:v>5.2500000000000012E-2</c:v>
                </c:pt>
                <c:pt idx="22">
                  <c:v>5.5000000000000014E-2</c:v>
                </c:pt>
                <c:pt idx="23">
                  <c:v>5.7500000000000016E-2</c:v>
                </c:pt>
                <c:pt idx="24">
                  <c:v>6.0000000000000019E-2</c:v>
                </c:pt>
                <c:pt idx="25">
                  <c:v>6.2500000000000014E-2</c:v>
                </c:pt>
                <c:pt idx="26">
                  <c:v>6.5000000000000016E-2</c:v>
                </c:pt>
                <c:pt idx="27">
                  <c:v>6.7500000000000018E-2</c:v>
                </c:pt>
                <c:pt idx="28">
                  <c:v>7.0000000000000021E-2</c:v>
                </c:pt>
                <c:pt idx="29">
                  <c:v>7.2500000000000023E-2</c:v>
                </c:pt>
                <c:pt idx="30">
                  <c:v>7.5000000000000025E-2</c:v>
                </c:pt>
                <c:pt idx="31">
                  <c:v>7.7500000000000027E-2</c:v>
                </c:pt>
                <c:pt idx="32">
                  <c:v>8.0000000000000029E-2</c:v>
                </c:pt>
                <c:pt idx="33">
                  <c:v>8.2500000000000032E-2</c:v>
                </c:pt>
                <c:pt idx="34">
                  <c:v>8.5000000000000034E-2</c:v>
                </c:pt>
                <c:pt idx="35">
                  <c:v>8.7500000000000036E-2</c:v>
                </c:pt>
                <c:pt idx="36">
                  <c:v>9.0000000000000038E-2</c:v>
                </c:pt>
                <c:pt idx="37">
                  <c:v>9.2500000000000041E-2</c:v>
                </c:pt>
                <c:pt idx="38">
                  <c:v>9.5000000000000043E-2</c:v>
                </c:pt>
                <c:pt idx="39">
                  <c:v>9.7500000000000045E-2</c:v>
                </c:pt>
                <c:pt idx="40">
                  <c:v>0.10000000000000005</c:v>
                </c:pt>
              </c:numCache>
            </c:numRef>
          </c:cat>
          <c:val>
            <c:numRef>
              <c:f>'Exercise A'!$E$7:$E$47</c:f>
              <c:numCache>
                <c:formatCode>0</c:formatCode>
                <c:ptCount val="41"/>
                <c:pt idx="0">
                  <c:v>1200</c:v>
                </c:pt>
                <c:pt idx="1">
                  <c:v>1172.6176183522339</c:v>
                </c:pt>
                <c:pt idx="2">
                  <c:v>1145.9561779117896</c:v>
                </c:pt>
                <c:pt idx="3">
                  <c:v>1119.9947447132668</c:v>
                </c:pt>
                <c:pt idx="4">
                  <c:v>1094.7130453070167</c:v>
                </c:pt>
                <c:pt idx="5">
                  <c:v>1070.0914443076192</c:v>
                </c:pt>
                <c:pt idx="6">
                  <c:v>1046.1109227592717</c:v>
                </c:pt>
                <c:pt idx="7">
                  <c:v>1022.7530572865327</c:v>
                </c:pt>
                <c:pt idx="8">
                  <c:v>1000.0000000000001</c:v>
                </c:pt>
                <c:pt idx="9">
                  <c:v>977.83445912782861</c:v>
                </c:pt>
                <c:pt idx="10">
                  <c:v>956.23968034514542</c:v>
                </c:pt>
                <c:pt idx="11">
                  <c:v>935.19942877458448</c:v>
                </c:pt>
                <c:pt idx="12">
                  <c:v>914.69797163224177</c:v>
                </c:pt>
                <c:pt idx="13">
                  <c:v>894.72006149439346</c:v>
                </c:pt>
                <c:pt idx="14">
                  <c:v>875.2509201613309</c:v>
                </c:pt>
                <c:pt idx="15">
                  <c:v>856.27622309560331</c:v>
                </c:pt>
                <c:pt idx="16">
                  <c:v>837.78208441289917</c:v>
                </c:pt>
                <c:pt idx="17">
                  <c:v>819.75504240464147</c:v>
                </c:pt>
                <c:pt idx="18">
                  <c:v>802.18204557224624</c:v>
                </c:pt>
                <c:pt idx="19">
                  <c:v>785.05043915376962</c:v>
                </c:pt>
                <c:pt idx="20">
                  <c:v>768.34795212445545</c:v>
                </c:pt>
                <c:pt idx="21">
                  <c:v>752.06268465341236</c:v>
                </c:pt>
                <c:pt idx="22">
                  <c:v>736.1830959993863</c:v>
                </c:pt>
                <c:pt idx="23">
                  <c:v>720.69799282923896</c:v>
                </c:pt>
                <c:pt idx="24">
                  <c:v>705.59651794341187</c:v>
                </c:pt>
                <c:pt idx="25">
                  <c:v>690.86813939325918</c:v>
                </c:pt>
                <c:pt idx="26">
                  <c:v>676.50263997575075</c:v>
                </c:pt>
                <c:pt idx="27">
                  <c:v>662.4901070915912</c:v>
                </c:pt>
                <c:pt idx="28">
                  <c:v>648.82092295336986</c:v>
                </c:pt>
                <c:pt idx="29">
                  <c:v>635.48575513085325</c:v>
                </c:pt>
                <c:pt idx="30">
                  <c:v>622.47554742107388</c:v>
                </c:pt>
                <c:pt idx="31">
                  <c:v>609.78151103130529</c:v>
                </c:pt>
                <c:pt idx="32">
                  <c:v>597.39511606351311</c:v>
                </c:pt>
                <c:pt idx="33">
                  <c:v>585.30808328928356</c:v>
                </c:pt>
                <c:pt idx="34">
                  <c:v>573.51237620468453</c:v>
                </c:pt>
                <c:pt idx="35">
                  <c:v>562.00019335489867</c:v>
                </c:pt>
                <c:pt idx="36">
                  <c:v>550.7639609188692</c:v>
                </c:pt>
                <c:pt idx="37">
                  <c:v>539.79632554456964</c:v>
                </c:pt>
                <c:pt idx="38">
                  <c:v>529.09014742587715</c:v>
                </c:pt>
                <c:pt idx="39">
                  <c:v>518.63849361235816</c:v>
                </c:pt>
                <c:pt idx="40">
                  <c:v>508.43463154362513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E5-D249-84D0-2B2C5F7047FF}"/>
            </c:ext>
          </c:extLst>
        </c:ser>
        <c:ser>
          <c:idx val="3"/>
          <c:order val="3"/>
          <c:tx>
            <c:strRef>
              <c:f>'Exercise A'!$F$6</c:f>
              <c:strCache>
                <c:ptCount val="1"/>
                <c:pt idx="0">
                  <c:v>3.00%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'Exercise A'!$B$7:$B$47</c:f>
              <c:numCache>
                <c:formatCode>0.00%</c:formatCode>
                <c:ptCount val="41"/>
                <c:pt idx="0">
                  <c:v>0</c:v>
                </c:pt>
                <c:pt idx="1">
                  <c:v>2.5000000000000001E-3</c:v>
                </c:pt>
                <c:pt idx="2">
                  <c:v>5.0000000000000001E-3</c:v>
                </c:pt>
                <c:pt idx="3">
                  <c:v>7.4999999999999997E-3</c:v>
                </c:pt>
                <c:pt idx="4">
                  <c:v>0.01</c:v>
                </c:pt>
                <c:pt idx="5">
                  <c:v>1.2500000000000001E-2</c:v>
                </c:pt>
                <c:pt idx="6">
                  <c:v>1.5000000000000001E-2</c:v>
                </c:pt>
                <c:pt idx="7">
                  <c:v>1.7500000000000002E-2</c:v>
                </c:pt>
                <c:pt idx="8">
                  <c:v>0.02</c:v>
                </c:pt>
                <c:pt idx="9">
                  <c:v>2.2499999999999999E-2</c:v>
                </c:pt>
                <c:pt idx="10">
                  <c:v>2.4999999999999998E-2</c:v>
                </c:pt>
                <c:pt idx="11">
                  <c:v>2.7499999999999997E-2</c:v>
                </c:pt>
                <c:pt idx="12">
                  <c:v>2.9999999999999995E-2</c:v>
                </c:pt>
                <c:pt idx="13">
                  <c:v>3.2499999999999994E-2</c:v>
                </c:pt>
                <c:pt idx="14">
                  <c:v>3.4999999999999996E-2</c:v>
                </c:pt>
                <c:pt idx="15">
                  <c:v>3.7499999999999999E-2</c:v>
                </c:pt>
                <c:pt idx="16">
                  <c:v>0.04</c:v>
                </c:pt>
                <c:pt idx="17">
                  <c:v>4.2500000000000003E-2</c:v>
                </c:pt>
                <c:pt idx="18">
                  <c:v>4.5000000000000005E-2</c:v>
                </c:pt>
                <c:pt idx="19">
                  <c:v>4.7500000000000007E-2</c:v>
                </c:pt>
                <c:pt idx="20">
                  <c:v>5.000000000000001E-2</c:v>
                </c:pt>
                <c:pt idx="21">
                  <c:v>5.2500000000000012E-2</c:v>
                </c:pt>
                <c:pt idx="22">
                  <c:v>5.5000000000000014E-2</c:v>
                </c:pt>
                <c:pt idx="23">
                  <c:v>5.7500000000000016E-2</c:v>
                </c:pt>
                <c:pt idx="24">
                  <c:v>6.0000000000000019E-2</c:v>
                </c:pt>
                <c:pt idx="25">
                  <c:v>6.2500000000000014E-2</c:v>
                </c:pt>
                <c:pt idx="26">
                  <c:v>6.5000000000000016E-2</c:v>
                </c:pt>
                <c:pt idx="27">
                  <c:v>6.7500000000000018E-2</c:v>
                </c:pt>
                <c:pt idx="28">
                  <c:v>7.0000000000000021E-2</c:v>
                </c:pt>
                <c:pt idx="29">
                  <c:v>7.2500000000000023E-2</c:v>
                </c:pt>
                <c:pt idx="30">
                  <c:v>7.5000000000000025E-2</c:v>
                </c:pt>
                <c:pt idx="31">
                  <c:v>7.7500000000000027E-2</c:v>
                </c:pt>
                <c:pt idx="32">
                  <c:v>8.0000000000000029E-2</c:v>
                </c:pt>
                <c:pt idx="33">
                  <c:v>8.2500000000000032E-2</c:v>
                </c:pt>
                <c:pt idx="34">
                  <c:v>8.5000000000000034E-2</c:v>
                </c:pt>
                <c:pt idx="35">
                  <c:v>8.7500000000000036E-2</c:v>
                </c:pt>
                <c:pt idx="36">
                  <c:v>9.0000000000000038E-2</c:v>
                </c:pt>
                <c:pt idx="37">
                  <c:v>9.2500000000000041E-2</c:v>
                </c:pt>
                <c:pt idx="38">
                  <c:v>9.5000000000000043E-2</c:v>
                </c:pt>
                <c:pt idx="39">
                  <c:v>9.7500000000000045E-2</c:v>
                </c:pt>
                <c:pt idx="40">
                  <c:v>0.10000000000000005</c:v>
                </c:pt>
              </c:numCache>
            </c:numRef>
          </c:cat>
          <c:val>
            <c:numRef>
              <c:f>'Exercise A'!$F$7:$F$47</c:f>
              <c:numCache>
                <c:formatCode>0</c:formatCode>
                <c:ptCount val="41"/>
                <c:pt idx="0">
                  <c:v>1300</c:v>
                </c:pt>
                <c:pt idx="1">
                  <c:v>1271.2562574106532</c:v>
                </c:pt>
                <c:pt idx="2">
                  <c:v>1243.2602965196495</c:v>
                </c:pt>
                <c:pt idx="3">
                  <c:v>1215.9905404838801</c:v>
                </c:pt>
                <c:pt idx="4">
                  <c:v>1189.4260906140337</c:v>
                </c:pt>
                <c:pt idx="5">
                  <c:v>1163.5467033844454</c:v>
                </c:pt>
                <c:pt idx="6">
                  <c:v>1138.3327682778151</c:v>
                </c:pt>
                <c:pt idx="7">
                  <c:v>1113.7652864326635</c:v>
                </c:pt>
                <c:pt idx="8">
                  <c:v>1089.8258500624222</c:v>
                </c:pt>
                <c:pt idx="9">
                  <c:v>1066.4966226165143</c:v>
                </c:pt>
                <c:pt idx="10">
                  <c:v>1043.7603196548546</c:v>
                </c:pt>
                <c:pt idx="11">
                  <c:v>1021.6001904084718</c:v>
                </c:pt>
                <c:pt idx="12">
                  <c:v>1000.0000000000001</c:v>
                </c:pt>
                <c:pt idx="13">
                  <c:v>978.94401229887887</c:v>
                </c:pt>
                <c:pt idx="14">
                  <c:v>958.41697338711037</c:v>
                </c:pt>
                <c:pt idx="15">
                  <c:v>938.40409561240142</c:v>
                </c:pt>
                <c:pt idx="16">
                  <c:v>918.89104220644958</c:v>
                </c:pt>
                <c:pt idx="17">
                  <c:v>899.86391244702304</c:v>
                </c:pt>
                <c:pt idx="18">
                  <c:v>881.30922734334774</c:v>
                </c:pt>
                <c:pt idx="19">
                  <c:v>863.21391582512615</c:v>
                </c:pt>
                <c:pt idx="20">
                  <c:v>845.56530141630367</c:v>
                </c:pt>
                <c:pt idx="21">
                  <c:v>828.3510893754393</c:v>
                </c:pt>
                <c:pt idx="22">
                  <c:v>811.55935428527584</c:v>
                </c:pt>
                <c:pt idx="23">
                  <c:v>795.17852807477516</c:v>
                </c:pt>
                <c:pt idx="24">
                  <c:v>779.19738845755887</c:v>
                </c:pt>
                <c:pt idx="25">
                  <c:v>763.60504777131587</c:v>
                </c:pt>
                <c:pt idx="26">
                  <c:v>748.39094220336165</c:v>
                </c:pt>
                <c:pt idx="27">
                  <c:v>733.54482138809828</c:v>
                </c:pt>
                <c:pt idx="28">
                  <c:v>719.0567383626958</c:v>
                </c:pt>
                <c:pt idx="29">
                  <c:v>704.91703986783352</c:v>
                </c:pt>
                <c:pt idx="30">
                  <c:v>691.11635698087855</c:v>
                </c:pt>
                <c:pt idx="31">
                  <c:v>677.64559606933915</c:v>
                </c:pt>
                <c:pt idx="32">
                  <c:v>664.49593005292752</c:v>
                </c:pt>
                <c:pt idx="33">
                  <c:v>651.65878996299818</c:v>
                </c:pt>
                <c:pt idx="34">
                  <c:v>639.1258567885792</c:v>
                </c:pt>
                <c:pt idx="35">
                  <c:v>626.88905359861735</c:v>
                </c:pt>
                <c:pt idx="36">
                  <c:v>614.94053793045919</c:v>
                </c:pt>
                <c:pt idx="37">
                  <c:v>603.2726944349738</c:v>
                </c:pt>
                <c:pt idx="38">
                  <c:v>591.87812776909345</c:v>
                </c:pt>
                <c:pt idx="39">
                  <c:v>580.74965572689257</c:v>
                </c:pt>
                <c:pt idx="40">
                  <c:v>569.88030260067194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E5-D249-84D0-2B2C5F7047FF}"/>
            </c:ext>
          </c:extLst>
        </c:ser>
        <c:ser>
          <c:idx val="4"/>
          <c:order val="4"/>
          <c:tx>
            <c:strRef>
              <c:f>'Exercise A'!$G$6</c:f>
              <c:strCache>
                <c:ptCount val="1"/>
                <c:pt idx="0">
                  <c:v>4.00%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'Exercise A'!$B$7:$B$47</c:f>
              <c:numCache>
                <c:formatCode>0.00%</c:formatCode>
                <c:ptCount val="41"/>
                <c:pt idx="0">
                  <c:v>0</c:v>
                </c:pt>
                <c:pt idx="1">
                  <c:v>2.5000000000000001E-3</c:v>
                </c:pt>
                <c:pt idx="2">
                  <c:v>5.0000000000000001E-3</c:v>
                </c:pt>
                <c:pt idx="3">
                  <c:v>7.4999999999999997E-3</c:v>
                </c:pt>
                <c:pt idx="4">
                  <c:v>0.01</c:v>
                </c:pt>
                <c:pt idx="5">
                  <c:v>1.2500000000000001E-2</c:v>
                </c:pt>
                <c:pt idx="6">
                  <c:v>1.5000000000000001E-2</c:v>
                </c:pt>
                <c:pt idx="7">
                  <c:v>1.7500000000000002E-2</c:v>
                </c:pt>
                <c:pt idx="8">
                  <c:v>0.02</c:v>
                </c:pt>
                <c:pt idx="9">
                  <c:v>2.2499999999999999E-2</c:v>
                </c:pt>
                <c:pt idx="10">
                  <c:v>2.4999999999999998E-2</c:v>
                </c:pt>
                <c:pt idx="11">
                  <c:v>2.7499999999999997E-2</c:v>
                </c:pt>
                <c:pt idx="12">
                  <c:v>2.9999999999999995E-2</c:v>
                </c:pt>
                <c:pt idx="13">
                  <c:v>3.2499999999999994E-2</c:v>
                </c:pt>
                <c:pt idx="14">
                  <c:v>3.4999999999999996E-2</c:v>
                </c:pt>
                <c:pt idx="15">
                  <c:v>3.7499999999999999E-2</c:v>
                </c:pt>
                <c:pt idx="16">
                  <c:v>0.04</c:v>
                </c:pt>
                <c:pt idx="17">
                  <c:v>4.2500000000000003E-2</c:v>
                </c:pt>
                <c:pt idx="18">
                  <c:v>4.5000000000000005E-2</c:v>
                </c:pt>
                <c:pt idx="19">
                  <c:v>4.7500000000000007E-2</c:v>
                </c:pt>
                <c:pt idx="20">
                  <c:v>5.000000000000001E-2</c:v>
                </c:pt>
                <c:pt idx="21">
                  <c:v>5.2500000000000012E-2</c:v>
                </c:pt>
                <c:pt idx="22">
                  <c:v>5.5000000000000014E-2</c:v>
                </c:pt>
                <c:pt idx="23">
                  <c:v>5.7500000000000016E-2</c:v>
                </c:pt>
                <c:pt idx="24">
                  <c:v>6.0000000000000019E-2</c:v>
                </c:pt>
                <c:pt idx="25">
                  <c:v>6.2500000000000014E-2</c:v>
                </c:pt>
                <c:pt idx="26">
                  <c:v>6.5000000000000016E-2</c:v>
                </c:pt>
                <c:pt idx="27">
                  <c:v>6.7500000000000018E-2</c:v>
                </c:pt>
                <c:pt idx="28">
                  <c:v>7.0000000000000021E-2</c:v>
                </c:pt>
                <c:pt idx="29">
                  <c:v>7.2500000000000023E-2</c:v>
                </c:pt>
                <c:pt idx="30">
                  <c:v>7.5000000000000025E-2</c:v>
                </c:pt>
                <c:pt idx="31">
                  <c:v>7.7500000000000027E-2</c:v>
                </c:pt>
                <c:pt idx="32">
                  <c:v>8.0000000000000029E-2</c:v>
                </c:pt>
                <c:pt idx="33">
                  <c:v>8.2500000000000032E-2</c:v>
                </c:pt>
                <c:pt idx="34">
                  <c:v>8.5000000000000034E-2</c:v>
                </c:pt>
                <c:pt idx="35">
                  <c:v>8.7500000000000036E-2</c:v>
                </c:pt>
                <c:pt idx="36">
                  <c:v>9.0000000000000038E-2</c:v>
                </c:pt>
                <c:pt idx="37">
                  <c:v>9.2500000000000041E-2</c:v>
                </c:pt>
                <c:pt idx="38">
                  <c:v>9.5000000000000043E-2</c:v>
                </c:pt>
                <c:pt idx="39">
                  <c:v>9.7500000000000045E-2</c:v>
                </c:pt>
                <c:pt idx="40">
                  <c:v>0.10000000000000005</c:v>
                </c:pt>
              </c:numCache>
            </c:numRef>
          </c:cat>
          <c:val>
            <c:numRef>
              <c:f>'Exercise A'!$G$7:$G$47</c:f>
              <c:numCache>
                <c:formatCode>0</c:formatCode>
                <c:ptCount val="41"/>
                <c:pt idx="0">
                  <c:v>1400</c:v>
                </c:pt>
                <c:pt idx="1">
                  <c:v>1369.8948964690724</c:v>
                </c:pt>
                <c:pt idx="2">
                  <c:v>1340.5644151275092</c:v>
                </c:pt>
                <c:pt idx="3">
                  <c:v>1311.9863362544936</c:v>
                </c:pt>
                <c:pt idx="4">
                  <c:v>1284.1391359210506</c:v>
                </c:pt>
                <c:pt idx="5">
                  <c:v>1257.0019624612712</c:v>
                </c:pt>
                <c:pt idx="6">
                  <c:v>1230.554613796359</c:v>
                </c:pt>
                <c:pt idx="7">
                  <c:v>1204.7775155787942</c:v>
                </c:pt>
                <c:pt idx="8">
                  <c:v>1179.6517001248446</c:v>
                </c:pt>
                <c:pt idx="9">
                  <c:v>1155.1587861051999</c:v>
                </c:pt>
                <c:pt idx="10">
                  <c:v>1131.2809589645638</c:v>
                </c:pt>
                <c:pt idx="11">
                  <c:v>1108.0009520423594</c:v>
                </c:pt>
                <c:pt idx="12">
                  <c:v>1085.3020283677583</c:v>
                </c:pt>
                <c:pt idx="13">
                  <c:v>1063.1679631033639</c:v>
                </c:pt>
                <c:pt idx="14">
                  <c:v>1041.5830266128899</c:v>
                </c:pt>
                <c:pt idx="15">
                  <c:v>1020.5319681291994</c:v>
                </c:pt>
                <c:pt idx="16">
                  <c:v>999.99999999999989</c:v>
                </c:pt>
                <c:pt idx="17">
                  <c:v>979.97278248940461</c:v>
                </c:pt>
                <c:pt idx="18">
                  <c:v>960.43640911444925</c:v>
                </c:pt>
                <c:pt idx="19">
                  <c:v>941.37739249648257</c:v>
                </c:pt>
                <c:pt idx="20">
                  <c:v>922.78265070815178</c:v>
                </c:pt>
                <c:pt idx="21">
                  <c:v>904.63949409746624</c:v>
                </c:pt>
                <c:pt idx="22">
                  <c:v>886.93561257116539</c:v>
                </c:pt>
                <c:pt idx="23">
                  <c:v>869.65906332031147</c:v>
                </c:pt>
                <c:pt idx="24">
                  <c:v>852.79825897170588</c:v>
                </c:pt>
                <c:pt idx="25">
                  <c:v>836.34195614937255</c:v>
                </c:pt>
                <c:pt idx="26">
                  <c:v>820.27924443097254</c:v>
                </c:pt>
                <c:pt idx="27">
                  <c:v>804.59953568460537</c:v>
                </c:pt>
                <c:pt idx="28">
                  <c:v>789.29255377202185</c:v>
                </c:pt>
                <c:pt idx="29">
                  <c:v>774.3483246048138</c:v>
                </c:pt>
                <c:pt idx="30">
                  <c:v>759.75716654068333</c:v>
                </c:pt>
                <c:pt idx="31">
                  <c:v>745.5096811073729</c:v>
                </c:pt>
                <c:pt idx="32">
                  <c:v>731.59674404234204</c:v>
                </c:pt>
                <c:pt idx="33">
                  <c:v>718.00949663671281</c:v>
                </c:pt>
                <c:pt idx="34">
                  <c:v>704.73933737247387</c:v>
                </c:pt>
                <c:pt idx="35">
                  <c:v>691.77791384233603</c:v>
                </c:pt>
                <c:pt idx="36">
                  <c:v>679.11711494204928</c:v>
                </c:pt>
                <c:pt idx="37">
                  <c:v>666.74906332537796</c:v>
                </c:pt>
                <c:pt idx="38">
                  <c:v>654.66610811230987</c:v>
                </c:pt>
                <c:pt idx="39">
                  <c:v>642.86081784142687</c:v>
                </c:pt>
                <c:pt idx="40">
                  <c:v>631.32597365771869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5E5-D249-84D0-2B2C5F7047FF}"/>
            </c:ext>
          </c:extLst>
        </c:ser>
        <c:ser>
          <c:idx val="5"/>
          <c:order val="5"/>
          <c:tx>
            <c:strRef>
              <c:f>'Exercise A'!$H$6</c:f>
              <c:strCache>
                <c:ptCount val="1"/>
                <c:pt idx="0">
                  <c:v>5.00%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'Exercise A'!$B$7:$B$47</c:f>
              <c:numCache>
                <c:formatCode>0.00%</c:formatCode>
                <c:ptCount val="41"/>
                <c:pt idx="0">
                  <c:v>0</c:v>
                </c:pt>
                <c:pt idx="1">
                  <c:v>2.5000000000000001E-3</c:v>
                </c:pt>
                <c:pt idx="2">
                  <c:v>5.0000000000000001E-3</c:v>
                </c:pt>
                <c:pt idx="3">
                  <c:v>7.4999999999999997E-3</c:v>
                </c:pt>
                <c:pt idx="4">
                  <c:v>0.01</c:v>
                </c:pt>
                <c:pt idx="5">
                  <c:v>1.2500000000000001E-2</c:v>
                </c:pt>
                <c:pt idx="6">
                  <c:v>1.5000000000000001E-2</c:v>
                </c:pt>
                <c:pt idx="7">
                  <c:v>1.7500000000000002E-2</c:v>
                </c:pt>
                <c:pt idx="8">
                  <c:v>0.02</c:v>
                </c:pt>
                <c:pt idx="9">
                  <c:v>2.2499999999999999E-2</c:v>
                </c:pt>
                <c:pt idx="10">
                  <c:v>2.4999999999999998E-2</c:v>
                </c:pt>
                <c:pt idx="11">
                  <c:v>2.7499999999999997E-2</c:v>
                </c:pt>
                <c:pt idx="12">
                  <c:v>2.9999999999999995E-2</c:v>
                </c:pt>
                <c:pt idx="13">
                  <c:v>3.2499999999999994E-2</c:v>
                </c:pt>
                <c:pt idx="14">
                  <c:v>3.4999999999999996E-2</c:v>
                </c:pt>
                <c:pt idx="15">
                  <c:v>3.7499999999999999E-2</c:v>
                </c:pt>
                <c:pt idx="16">
                  <c:v>0.04</c:v>
                </c:pt>
                <c:pt idx="17">
                  <c:v>4.2500000000000003E-2</c:v>
                </c:pt>
                <c:pt idx="18">
                  <c:v>4.5000000000000005E-2</c:v>
                </c:pt>
                <c:pt idx="19">
                  <c:v>4.7500000000000007E-2</c:v>
                </c:pt>
                <c:pt idx="20">
                  <c:v>5.000000000000001E-2</c:v>
                </c:pt>
                <c:pt idx="21">
                  <c:v>5.2500000000000012E-2</c:v>
                </c:pt>
                <c:pt idx="22">
                  <c:v>5.5000000000000014E-2</c:v>
                </c:pt>
                <c:pt idx="23">
                  <c:v>5.7500000000000016E-2</c:v>
                </c:pt>
                <c:pt idx="24">
                  <c:v>6.0000000000000019E-2</c:v>
                </c:pt>
                <c:pt idx="25">
                  <c:v>6.2500000000000014E-2</c:v>
                </c:pt>
                <c:pt idx="26">
                  <c:v>6.5000000000000016E-2</c:v>
                </c:pt>
                <c:pt idx="27">
                  <c:v>6.7500000000000018E-2</c:v>
                </c:pt>
                <c:pt idx="28">
                  <c:v>7.0000000000000021E-2</c:v>
                </c:pt>
                <c:pt idx="29">
                  <c:v>7.2500000000000023E-2</c:v>
                </c:pt>
                <c:pt idx="30">
                  <c:v>7.5000000000000025E-2</c:v>
                </c:pt>
                <c:pt idx="31">
                  <c:v>7.7500000000000027E-2</c:v>
                </c:pt>
                <c:pt idx="32">
                  <c:v>8.0000000000000029E-2</c:v>
                </c:pt>
                <c:pt idx="33">
                  <c:v>8.2500000000000032E-2</c:v>
                </c:pt>
                <c:pt idx="34">
                  <c:v>8.5000000000000034E-2</c:v>
                </c:pt>
                <c:pt idx="35">
                  <c:v>8.7500000000000036E-2</c:v>
                </c:pt>
                <c:pt idx="36">
                  <c:v>9.0000000000000038E-2</c:v>
                </c:pt>
                <c:pt idx="37">
                  <c:v>9.2500000000000041E-2</c:v>
                </c:pt>
                <c:pt idx="38">
                  <c:v>9.5000000000000043E-2</c:v>
                </c:pt>
                <c:pt idx="39">
                  <c:v>9.7500000000000045E-2</c:v>
                </c:pt>
                <c:pt idx="40">
                  <c:v>0.10000000000000005</c:v>
                </c:pt>
              </c:numCache>
            </c:numRef>
          </c:cat>
          <c:val>
            <c:numRef>
              <c:f>'Exercise A'!$H$7:$H$47</c:f>
              <c:numCache>
                <c:formatCode>0</c:formatCode>
                <c:ptCount val="41"/>
                <c:pt idx="0">
                  <c:v>1500</c:v>
                </c:pt>
                <c:pt idx="1">
                  <c:v>1468.5335355274919</c:v>
                </c:pt>
                <c:pt idx="2">
                  <c:v>1437.8685337353688</c:v>
                </c:pt>
                <c:pt idx="3">
                  <c:v>1407.9821320251069</c:v>
                </c:pt>
                <c:pt idx="4">
                  <c:v>1378.8521812280674</c:v>
                </c:pt>
                <c:pt idx="5">
                  <c:v>1350.457221538097</c:v>
                </c:pt>
                <c:pt idx="6">
                  <c:v>1322.7764593149027</c:v>
                </c:pt>
                <c:pt idx="7">
                  <c:v>1295.7897447249254</c:v>
                </c:pt>
                <c:pt idx="8">
                  <c:v>1269.4775501872671</c:v>
                </c:pt>
                <c:pt idx="9">
                  <c:v>1243.8209495938854</c:v>
                </c:pt>
                <c:pt idx="10">
                  <c:v>1218.8015982742729</c:v>
                </c:pt>
                <c:pt idx="11">
                  <c:v>1194.4017136762466</c:v>
                </c:pt>
                <c:pt idx="12">
                  <c:v>1170.6040567355167</c:v>
                </c:pt>
                <c:pt idx="13">
                  <c:v>1147.3919139078491</c:v>
                </c:pt>
                <c:pt idx="14">
                  <c:v>1124.7490798386691</c:v>
                </c:pt>
                <c:pt idx="15">
                  <c:v>1102.6598406459977</c:v>
                </c:pt>
                <c:pt idx="16">
                  <c:v>1081.1089577935504</c:v>
                </c:pt>
                <c:pt idx="17">
                  <c:v>1060.0816525317862</c:v>
                </c:pt>
                <c:pt idx="18">
                  <c:v>1039.5635908855506</c:v>
                </c:pt>
                <c:pt idx="19">
                  <c:v>1019.5408691678391</c:v>
                </c:pt>
                <c:pt idx="20">
                  <c:v>999.99999999999989</c:v>
                </c:pt>
                <c:pt idx="21">
                  <c:v>980.92789881949318</c:v>
                </c:pt>
                <c:pt idx="22">
                  <c:v>962.31187085705506</c:v>
                </c:pt>
                <c:pt idx="23">
                  <c:v>944.13959856584768</c:v>
                </c:pt>
                <c:pt idx="24">
                  <c:v>926.39912948585288</c:v>
                </c:pt>
                <c:pt idx="25">
                  <c:v>909.078864527429</c:v>
                </c:pt>
                <c:pt idx="26">
                  <c:v>892.16754665858355</c:v>
                </c:pt>
                <c:pt idx="27">
                  <c:v>875.65424998111246</c:v>
                </c:pt>
                <c:pt idx="28">
                  <c:v>859.5283691813479</c:v>
                </c:pt>
                <c:pt idx="29">
                  <c:v>843.77960934179418</c:v>
                </c:pt>
                <c:pt idx="30">
                  <c:v>828.39797610048799</c:v>
                </c:pt>
                <c:pt idx="31">
                  <c:v>813.37376614540676</c:v>
                </c:pt>
                <c:pt idx="32">
                  <c:v>798.69755803175644</c:v>
                </c:pt>
                <c:pt idx="33">
                  <c:v>784.36020331042744</c:v>
                </c:pt>
                <c:pt idx="34">
                  <c:v>770.35281795636843</c:v>
                </c:pt>
                <c:pt idx="35">
                  <c:v>756.66677408605483</c:v>
                </c:pt>
                <c:pt idx="36">
                  <c:v>743.29369195363938</c:v>
                </c:pt>
                <c:pt idx="37">
                  <c:v>730.22543221578212</c:v>
                </c:pt>
                <c:pt idx="38">
                  <c:v>717.45408845552618</c:v>
                </c:pt>
                <c:pt idx="39">
                  <c:v>704.97197995596127</c:v>
                </c:pt>
                <c:pt idx="40">
                  <c:v>692.77164471476556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5E5-D249-84D0-2B2C5F7047FF}"/>
            </c:ext>
          </c:extLst>
        </c:ser>
        <c:ser>
          <c:idx val="6"/>
          <c:order val="6"/>
          <c:tx>
            <c:strRef>
              <c:f>'Exercise A'!$I$6</c:f>
              <c:strCache>
                <c:ptCount val="1"/>
                <c:pt idx="0">
                  <c:v>6.00%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'Exercise A'!$B$7:$B$47</c:f>
              <c:numCache>
                <c:formatCode>0.00%</c:formatCode>
                <c:ptCount val="41"/>
                <c:pt idx="0">
                  <c:v>0</c:v>
                </c:pt>
                <c:pt idx="1">
                  <c:v>2.5000000000000001E-3</c:v>
                </c:pt>
                <c:pt idx="2">
                  <c:v>5.0000000000000001E-3</c:v>
                </c:pt>
                <c:pt idx="3">
                  <c:v>7.4999999999999997E-3</c:v>
                </c:pt>
                <c:pt idx="4">
                  <c:v>0.01</c:v>
                </c:pt>
                <c:pt idx="5">
                  <c:v>1.2500000000000001E-2</c:v>
                </c:pt>
                <c:pt idx="6">
                  <c:v>1.5000000000000001E-2</c:v>
                </c:pt>
                <c:pt idx="7">
                  <c:v>1.7500000000000002E-2</c:v>
                </c:pt>
                <c:pt idx="8">
                  <c:v>0.02</c:v>
                </c:pt>
                <c:pt idx="9">
                  <c:v>2.2499999999999999E-2</c:v>
                </c:pt>
                <c:pt idx="10">
                  <c:v>2.4999999999999998E-2</c:v>
                </c:pt>
                <c:pt idx="11">
                  <c:v>2.7499999999999997E-2</c:v>
                </c:pt>
                <c:pt idx="12">
                  <c:v>2.9999999999999995E-2</c:v>
                </c:pt>
                <c:pt idx="13">
                  <c:v>3.2499999999999994E-2</c:v>
                </c:pt>
                <c:pt idx="14">
                  <c:v>3.4999999999999996E-2</c:v>
                </c:pt>
                <c:pt idx="15">
                  <c:v>3.7499999999999999E-2</c:v>
                </c:pt>
                <c:pt idx="16">
                  <c:v>0.04</c:v>
                </c:pt>
                <c:pt idx="17">
                  <c:v>4.2500000000000003E-2</c:v>
                </c:pt>
                <c:pt idx="18">
                  <c:v>4.5000000000000005E-2</c:v>
                </c:pt>
                <c:pt idx="19">
                  <c:v>4.7500000000000007E-2</c:v>
                </c:pt>
                <c:pt idx="20">
                  <c:v>5.000000000000001E-2</c:v>
                </c:pt>
                <c:pt idx="21">
                  <c:v>5.2500000000000012E-2</c:v>
                </c:pt>
                <c:pt idx="22">
                  <c:v>5.5000000000000014E-2</c:v>
                </c:pt>
                <c:pt idx="23">
                  <c:v>5.7500000000000016E-2</c:v>
                </c:pt>
                <c:pt idx="24">
                  <c:v>6.0000000000000019E-2</c:v>
                </c:pt>
                <c:pt idx="25">
                  <c:v>6.2500000000000014E-2</c:v>
                </c:pt>
                <c:pt idx="26">
                  <c:v>6.5000000000000016E-2</c:v>
                </c:pt>
                <c:pt idx="27">
                  <c:v>6.7500000000000018E-2</c:v>
                </c:pt>
                <c:pt idx="28">
                  <c:v>7.0000000000000021E-2</c:v>
                </c:pt>
                <c:pt idx="29">
                  <c:v>7.2500000000000023E-2</c:v>
                </c:pt>
                <c:pt idx="30">
                  <c:v>7.5000000000000025E-2</c:v>
                </c:pt>
                <c:pt idx="31">
                  <c:v>7.7500000000000027E-2</c:v>
                </c:pt>
                <c:pt idx="32">
                  <c:v>8.0000000000000029E-2</c:v>
                </c:pt>
                <c:pt idx="33">
                  <c:v>8.2500000000000032E-2</c:v>
                </c:pt>
                <c:pt idx="34">
                  <c:v>8.5000000000000034E-2</c:v>
                </c:pt>
                <c:pt idx="35">
                  <c:v>8.7500000000000036E-2</c:v>
                </c:pt>
                <c:pt idx="36">
                  <c:v>9.0000000000000038E-2</c:v>
                </c:pt>
                <c:pt idx="37">
                  <c:v>9.2500000000000041E-2</c:v>
                </c:pt>
                <c:pt idx="38">
                  <c:v>9.5000000000000043E-2</c:v>
                </c:pt>
                <c:pt idx="39">
                  <c:v>9.7500000000000045E-2</c:v>
                </c:pt>
                <c:pt idx="40">
                  <c:v>0.10000000000000005</c:v>
                </c:pt>
              </c:numCache>
            </c:numRef>
          </c:cat>
          <c:val>
            <c:numRef>
              <c:f>'Exercise A'!$I$7:$I$47</c:f>
              <c:numCache>
                <c:formatCode>0</c:formatCode>
                <c:ptCount val="41"/>
                <c:pt idx="0">
                  <c:v>1600</c:v>
                </c:pt>
                <c:pt idx="1">
                  <c:v>1567.1721745859113</c:v>
                </c:pt>
                <c:pt idx="2">
                  <c:v>1535.1726523432287</c:v>
                </c:pt>
                <c:pt idx="3">
                  <c:v>1503.9779277957202</c:v>
                </c:pt>
                <c:pt idx="4">
                  <c:v>1473.5652265350845</c:v>
                </c:pt>
                <c:pt idx="5">
                  <c:v>1443.9124806149232</c:v>
                </c:pt>
                <c:pt idx="6">
                  <c:v>1414.9983048334461</c:v>
                </c:pt>
                <c:pt idx="7">
                  <c:v>1386.8019738710561</c:v>
                </c:pt>
                <c:pt idx="8">
                  <c:v>1359.3034002496893</c:v>
                </c:pt>
                <c:pt idx="9">
                  <c:v>1332.4831130825712</c:v>
                </c:pt>
                <c:pt idx="10">
                  <c:v>1306.3222375839821</c:v>
                </c:pt>
                <c:pt idx="11">
                  <c:v>1280.802475310134</c:v>
                </c:pt>
                <c:pt idx="12">
                  <c:v>1255.906085103275</c:v>
                </c:pt>
                <c:pt idx="13">
                  <c:v>1231.6158647123345</c:v>
                </c:pt>
                <c:pt idx="14">
                  <c:v>1207.9151330644486</c:v>
                </c:pt>
                <c:pt idx="15">
                  <c:v>1184.7877131627959</c:v>
                </c:pt>
                <c:pt idx="16">
                  <c:v>1162.2179155871008</c:v>
                </c:pt>
                <c:pt idx="17">
                  <c:v>1140.1905225741677</c:v>
                </c:pt>
                <c:pt idx="18">
                  <c:v>1118.6907726566521</c:v>
                </c:pt>
                <c:pt idx="19">
                  <c:v>1097.7043458391956</c:v>
                </c:pt>
                <c:pt idx="20">
                  <c:v>1077.217349291848</c:v>
                </c:pt>
                <c:pt idx="21">
                  <c:v>1057.2163035415201</c:v>
                </c:pt>
                <c:pt idx="22">
                  <c:v>1037.6881291429447</c:v>
                </c:pt>
                <c:pt idx="23">
                  <c:v>1018.620133811384</c:v>
                </c:pt>
                <c:pt idx="24">
                  <c:v>999.99999999999989</c:v>
                </c:pt>
                <c:pt idx="25">
                  <c:v>981.8157729054858</c:v>
                </c:pt>
                <c:pt idx="26">
                  <c:v>964.05584888619455</c:v>
                </c:pt>
                <c:pt idx="27">
                  <c:v>946.70896427761966</c:v>
                </c:pt>
                <c:pt idx="28">
                  <c:v>929.76418459067384</c:v>
                </c:pt>
                <c:pt idx="29">
                  <c:v>913.21089407877446</c:v>
                </c:pt>
                <c:pt idx="30">
                  <c:v>897.03878566029266</c:v>
                </c:pt>
                <c:pt idx="31">
                  <c:v>881.23785118344063</c:v>
                </c:pt>
                <c:pt idx="32">
                  <c:v>865.79837202117085</c:v>
                </c:pt>
                <c:pt idx="33">
                  <c:v>850.71090998414195</c:v>
                </c:pt>
                <c:pt idx="34">
                  <c:v>835.9662985402631</c:v>
                </c:pt>
                <c:pt idx="35">
                  <c:v>821.55563432977351</c:v>
                </c:pt>
                <c:pt idx="36">
                  <c:v>807.47026896522959</c:v>
                </c:pt>
                <c:pt idx="37">
                  <c:v>793.70180110618628</c:v>
                </c:pt>
                <c:pt idx="38">
                  <c:v>780.24206879874248</c:v>
                </c:pt>
                <c:pt idx="39">
                  <c:v>767.0831420704958</c:v>
                </c:pt>
                <c:pt idx="40">
                  <c:v>754.21731577181242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5E5-D249-84D0-2B2C5F7047FF}"/>
            </c:ext>
          </c:extLst>
        </c:ser>
        <c:ser>
          <c:idx val="7"/>
          <c:order val="7"/>
          <c:tx>
            <c:strRef>
              <c:f>'Exercise A'!$J$6</c:f>
              <c:strCache>
                <c:ptCount val="1"/>
                <c:pt idx="0">
                  <c:v>7.00%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'Exercise A'!$B$7:$B$47</c:f>
              <c:numCache>
                <c:formatCode>0.00%</c:formatCode>
                <c:ptCount val="41"/>
                <c:pt idx="0">
                  <c:v>0</c:v>
                </c:pt>
                <c:pt idx="1">
                  <c:v>2.5000000000000001E-3</c:v>
                </c:pt>
                <c:pt idx="2">
                  <c:v>5.0000000000000001E-3</c:v>
                </c:pt>
                <c:pt idx="3">
                  <c:v>7.4999999999999997E-3</c:v>
                </c:pt>
                <c:pt idx="4">
                  <c:v>0.01</c:v>
                </c:pt>
                <c:pt idx="5">
                  <c:v>1.2500000000000001E-2</c:v>
                </c:pt>
                <c:pt idx="6">
                  <c:v>1.5000000000000001E-2</c:v>
                </c:pt>
                <c:pt idx="7">
                  <c:v>1.7500000000000002E-2</c:v>
                </c:pt>
                <c:pt idx="8">
                  <c:v>0.02</c:v>
                </c:pt>
                <c:pt idx="9">
                  <c:v>2.2499999999999999E-2</c:v>
                </c:pt>
                <c:pt idx="10">
                  <c:v>2.4999999999999998E-2</c:v>
                </c:pt>
                <c:pt idx="11">
                  <c:v>2.7499999999999997E-2</c:v>
                </c:pt>
                <c:pt idx="12">
                  <c:v>2.9999999999999995E-2</c:v>
                </c:pt>
                <c:pt idx="13">
                  <c:v>3.2499999999999994E-2</c:v>
                </c:pt>
                <c:pt idx="14">
                  <c:v>3.4999999999999996E-2</c:v>
                </c:pt>
                <c:pt idx="15">
                  <c:v>3.7499999999999999E-2</c:v>
                </c:pt>
                <c:pt idx="16">
                  <c:v>0.04</c:v>
                </c:pt>
                <c:pt idx="17">
                  <c:v>4.2500000000000003E-2</c:v>
                </c:pt>
                <c:pt idx="18">
                  <c:v>4.5000000000000005E-2</c:v>
                </c:pt>
                <c:pt idx="19">
                  <c:v>4.7500000000000007E-2</c:v>
                </c:pt>
                <c:pt idx="20">
                  <c:v>5.000000000000001E-2</c:v>
                </c:pt>
                <c:pt idx="21">
                  <c:v>5.2500000000000012E-2</c:v>
                </c:pt>
                <c:pt idx="22">
                  <c:v>5.5000000000000014E-2</c:v>
                </c:pt>
                <c:pt idx="23">
                  <c:v>5.7500000000000016E-2</c:v>
                </c:pt>
                <c:pt idx="24">
                  <c:v>6.0000000000000019E-2</c:v>
                </c:pt>
                <c:pt idx="25">
                  <c:v>6.2500000000000014E-2</c:v>
                </c:pt>
                <c:pt idx="26">
                  <c:v>6.5000000000000016E-2</c:v>
                </c:pt>
                <c:pt idx="27">
                  <c:v>6.7500000000000018E-2</c:v>
                </c:pt>
                <c:pt idx="28">
                  <c:v>7.0000000000000021E-2</c:v>
                </c:pt>
                <c:pt idx="29">
                  <c:v>7.2500000000000023E-2</c:v>
                </c:pt>
                <c:pt idx="30">
                  <c:v>7.5000000000000025E-2</c:v>
                </c:pt>
                <c:pt idx="31">
                  <c:v>7.7500000000000027E-2</c:v>
                </c:pt>
                <c:pt idx="32">
                  <c:v>8.0000000000000029E-2</c:v>
                </c:pt>
                <c:pt idx="33">
                  <c:v>8.2500000000000032E-2</c:v>
                </c:pt>
                <c:pt idx="34">
                  <c:v>8.5000000000000034E-2</c:v>
                </c:pt>
                <c:pt idx="35">
                  <c:v>8.7500000000000036E-2</c:v>
                </c:pt>
                <c:pt idx="36">
                  <c:v>9.0000000000000038E-2</c:v>
                </c:pt>
                <c:pt idx="37">
                  <c:v>9.2500000000000041E-2</c:v>
                </c:pt>
                <c:pt idx="38">
                  <c:v>9.5000000000000043E-2</c:v>
                </c:pt>
                <c:pt idx="39">
                  <c:v>9.7500000000000045E-2</c:v>
                </c:pt>
                <c:pt idx="40">
                  <c:v>0.10000000000000005</c:v>
                </c:pt>
              </c:numCache>
            </c:numRef>
          </c:cat>
          <c:val>
            <c:numRef>
              <c:f>'Exercise A'!$J$7:$J$47</c:f>
              <c:numCache>
                <c:formatCode>0</c:formatCode>
                <c:ptCount val="41"/>
                <c:pt idx="0">
                  <c:v>1700</c:v>
                </c:pt>
                <c:pt idx="1">
                  <c:v>1665.8108136443307</c:v>
                </c:pt>
                <c:pt idx="2">
                  <c:v>1632.4767709510884</c:v>
                </c:pt>
                <c:pt idx="3">
                  <c:v>1599.9737235663338</c:v>
                </c:pt>
                <c:pt idx="4">
                  <c:v>1568.2782718421013</c:v>
                </c:pt>
                <c:pt idx="5">
                  <c:v>1537.367739691749</c:v>
                </c:pt>
                <c:pt idx="6">
                  <c:v>1507.2201503519896</c:v>
                </c:pt>
                <c:pt idx="7">
                  <c:v>1477.8142030171871</c:v>
                </c:pt>
                <c:pt idx="8">
                  <c:v>1449.1292503121117</c:v>
                </c:pt>
                <c:pt idx="9">
                  <c:v>1421.1452765712568</c:v>
                </c:pt>
                <c:pt idx="10">
                  <c:v>1393.8428768936913</c:v>
                </c:pt>
                <c:pt idx="11">
                  <c:v>1367.2032369440215</c:v>
                </c:pt>
                <c:pt idx="12">
                  <c:v>1341.2081134710331</c:v>
                </c:pt>
                <c:pt idx="13">
                  <c:v>1315.8398155168195</c:v>
                </c:pt>
                <c:pt idx="14">
                  <c:v>1291.0811862902278</c:v>
                </c:pt>
                <c:pt idx="15">
                  <c:v>1266.915585679594</c:v>
                </c:pt>
                <c:pt idx="16">
                  <c:v>1243.326873380651</c:v>
                </c:pt>
                <c:pt idx="17">
                  <c:v>1220.2993926165493</c:v>
                </c:pt>
                <c:pt idx="18">
                  <c:v>1197.8179544277536</c:v>
                </c:pt>
                <c:pt idx="19">
                  <c:v>1175.8678225105521</c:v>
                </c:pt>
                <c:pt idx="20">
                  <c:v>1154.4346985836962</c:v>
                </c:pt>
                <c:pt idx="21">
                  <c:v>1133.5047082635472</c:v>
                </c:pt>
                <c:pt idx="22">
                  <c:v>1113.0643874288342</c:v>
                </c:pt>
                <c:pt idx="23">
                  <c:v>1093.1006690569202</c:v>
                </c:pt>
                <c:pt idx="24">
                  <c:v>1073.6008705141469</c:v>
                </c:pt>
                <c:pt idx="25">
                  <c:v>1054.5526812835424</c:v>
                </c:pt>
                <c:pt idx="26">
                  <c:v>1035.9441511138052</c:v>
                </c:pt>
                <c:pt idx="27">
                  <c:v>1017.7636785741266</c:v>
                </c:pt>
                <c:pt idx="28">
                  <c:v>999.99999999999989</c:v>
                </c:pt>
                <c:pt idx="29">
                  <c:v>982.64217881575473</c:v>
                </c:pt>
                <c:pt idx="30">
                  <c:v>965.67959522009744</c:v>
                </c:pt>
                <c:pt idx="31">
                  <c:v>949.10193622147438</c:v>
                </c:pt>
                <c:pt idx="32">
                  <c:v>932.89918601058537</c:v>
                </c:pt>
                <c:pt idx="33">
                  <c:v>917.06161665785646</c:v>
                </c:pt>
                <c:pt idx="34">
                  <c:v>901.57977912415777</c:v>
                </c:pt>
                <c:pt idx="35">
                  <c:v>886.44449457349208</c:v>
                </c:pt>
                <c:pt idx="36">
                  <c:v>871.64684597681946</c:v>
                </c:pt>
                <c:pt idx="37">
                  <c:v>857.17816999659044</c:v>
                </c:pt>
                <c:pt idx="38">
                  <c:v>843.03004914195901</c:v>
                </c:pt>
                <c:pt idx="39">
                  <c:v>829.19430418503021</c:v>
                </c:pt>
                <c:pt idx="40">
                  <c:v>815.66298682885918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5E5-D249-84D0-2B2C5F7047FF}"/>
            </c:ext>
          </c:extLst>
        </c:ser>
        <c:ser>
          <c:idx val="8"/>
          <c:order val="8"/>
          <c:tx>
            <c:strRef>
              <c:f>'Exercise A'!$K$6</c:f>
              <c:strCache>
                <c:ptCount val="1"/>
                <c:pt idx="0">
                  <c:v>8.00%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'Exercise A'!$B$7:$B$47</c:f>
              <c:numCache>
                <c:formatCode>0.00%</c:formatCode>
                <c:ptCount val="41"/>
                <c:pt idx="0">
                  <c:v>0</c:v>
                </c:pt>
                <c:pt idx="1">
                  <c:v>2.5000000000000001E-3</c:v>
                </c:pt>
                <c:pt idx="2">
                  <c:v>5.0000000000000001E-3</c:v>
                </c:pt>
                <c:pt idx="3">
                  <c:v>7.4999999999999997E-3</c:v>
                </c:pt>
                <c:pt idx="4">
                  <c:v>0.01</c:v>
                </c:pt>
                <c:pt idx="5">
                  <c:v>1.2500000000000001E-2</c:v>
                </c:pt>
                <c:pt idx="6">
                  <c:v>1.5000000000000001E-2</c:v>
                </c:pt>
                <c:pt idx="7">
                  <c:v>1.7500000000000002E-2</c:v>
                </c:pt>
                <c:pt idx="8">
                  <c:v>0.02</c:v>
                </c:pt>
                <c:pt idx="9">
                  <c:v>2.2499999999999999E-2</c:v>
                </c:pt>
                <c:pt idx="10">
                  <c:v>2.4999999999999998E-2</c:v>
                </c:pt>
                <c:pt idx="11">
                  <c:v>2.7499999999999997E-2</c:v>
                </c:pt>
                <c:pt idx="12">
                  <c:v>2.9999999999999995E-2</c:v>
                </c:pt>
                <c:pt idx="13">
                  <c:v>3.2499999999999994E-2</c:v>
                </c:pt>
                <c:pt idx="14">
                  <c:v>3.4999999999999996E-2</c:v>
                </c:pt>
                <c:pt idx="15">
                  <c:v>3.7499999999999999E-2</c:v>
                </c:pt>
                <c:pt idx="16">
                  <c:v>0.04</c:v>
                </c:pt>
                <c:pt idx="17">
                  <c:v>4.2500000000000003E-2</c:v>
                </c:pt>
                <c:pt idx="18">
                  <c:v>4.5000000000000005E-2</c:v>
                </c:pt>
                <c:pt idx="19">
                  <c:v>4.7500000000000007E-2</c:v>
                </c:pt>
                <c:pt idx="20">
                  <c:v>5.000000000000001E-2</c:v>
                </c:pt>
                <c:pt idx="21">
                  <c:v>5.2500000000000012E-2</c:v>
                </c:pt>
                <c:pt idx="22">
                  <c:v>5.5000000000000014E-2</c:v>
                </c:pt>
                <c:pt idx="23">
                  <c:v>5.7500000000000016E-2</c:v>
                </c:pt>
                <c:pt idx="24">
                  <c:v>6.0000000000000019E-2</c:v>
                </c:pt>
                <c:pt idx="25">
                  <c:v>6.2500000000000014E-2</c:v>
                </c:pt>
                <c:pt idx="26">
                  <c:v>6.5000000000000016E-2</c:v>
                </c:pt>
                <c:pt idx="27">
                  <c:v>6.7500000000000018E-2</c:v>
                </c:pt>
                <c:pt idx="28">
                  <c:v>7.0000000000000021E-2</c:v>
                </c:pt>
                <c:pt idx="29">
                  <c:v>7.2500000000000023E-2</c:v>
                </c:pt>
                <c:pt idx="30">
                  <c:v>7.5000000000000025E-2</c:v>
                </c:pt>
                <c:pt idx="31">
                  <c:v>7.7500000000000027E-2</c:v>
                </c:pt>
                <c:pt idx="32">
                  <c:v>8.0000000000000029E-2</c:v>
                </c:pt>
                <c:pt idx="33">
                  <c:v>8.2500000000000032E-2</c:v>
                </c:pt>
                <c:pt idx="34">
                  <c:v>8.5000000000000034E-2</c:v>
                </c:pt>
                <c:pt idx="35">
                  <c:v>8.7500000000000036E-2</c:v>
                </c:pt>
                <c:pt idx="36">
                  <c:v>9.0000000000000038E-2</c:v>
                </c:pt>
                <c:pt idx="37">
                  <c:v>9.2500000000000041E-2</c:v>
                </c:pt>
                <c:pt idx="38">
                  <c:v>9.5000000000000043E-2</c:v>
                </c:pt>
                <c:pt idx="39">
                  <c:v>9.7500000000000045E-2</c:v>
                </c:pt>
                <c:pt idx="40">
                  <c:v>0.10000000000000005</c:v>
                </c:pt>
              </c:numCache>
            </c:numRef>
          </c:cat>
          <c:val>
            <c:numRef>
              <c:f>'Exercise A'!$K$7:$K$47</c:f>
              <c:numCache>
                <c:formatCode>0</c:formatCode>
                <c:ptCount val="41"/>
                <c:pt idx="0">
                  <c:v>1800</c:v>
                </c:pt>
                <c:pt idx="1">
                  <c:v>1764.4494527027498</c:v>
                </c:pt>
                <c:pt idx="2">
                  <c:v>1729.780889558948</c:v>
                </c:pt>
                <c:pt idx="3">
                  <c:v>1695.9695193369471</c:v>
                </c:pt>
                <c:pt idx="4">
                  <c:v>1662.9913171491182</c:v>
                </c:pt>
                <c:pt idx="5">
                  <c:v>1630.8229987685747</c:v>
                </c:pt>
                <c:pt idx="6">
                  <c:v>1599.4419958705332</c:v>
                </c:pt>
                <c:pt idx="7">
                  <c:v>1568.8264321633178</c:v>
                </c:pt>
                <c:pt idx="8">
                  <c:v>1538.9551003745341</c:v>
                </c:pt>
                <c:pt idx="9">
                  <c:v>1509.8074400599423</c:v>
                </c:pt>
                <c:pt idx="10">
                  <c:v>1481.3635162034004</c:v>
                </c:pt>
                <c:pt idx="11">
                  <c:v>1453.6039985779089</c:v>
                </c:pt>
                <c:pt idx="12">
                  <c:v>1426.5101418387912</c:v>
                </c:pt>
                <c:pt idx="13">
                  <c:v>1400.0637663213047</c:v>
                </c:pt>
                <c:pt idx="14">
                  <c:v>1374.2472395160073</c:v>
                </c:pt>
                <c:pt idx="15">
                  <c:v>1349.0434581963921</c:v>
                </c:pt>
                <c:pt idx="16">
                  <c:v>1324.4358311742014</c:v>
                </c:pt>
                <c:pt idx="17">
                  <c:v>1300.4082626589309</c:v>
                </c:pt>
                <c:pt idx="18">
                  <c:v>1276.9451361988552</c:v>
                </c:pt>
                <c:pt idx="19">
                  <c:v>1254.0312991819087</c:v>
                </c:pt>
                <c:pt idx="20">
                  <c:v>1231.6520478755444</c:v>
                </c:pt>
                <c:pt idx="21">
                  <c:v>1209.793112985574</c:v>
                </c:pt>
                <c:pt idx="22">
                  <c:v>1188.4406457147238</c:v>
                </c:pt>
                <c:pt idx="23">
                  <c:v>1167.5812043024564</c:v>
                </c:pt>
                <c:pt idx="24">
                  <c:v>1147.201741028294</c:v>
                </c:pt>
                <c:pt idx="25">
                  <c:v>1127.2895896615992</c:v>
                </c:pt>
                <c:pt idx="26">
                  <c:v>1107.8324533414163</c:v>
                </c:pt>
                <c:pt idx="27">
                  <c:v>1088.8183928706339</c:v>
                </c:pt>
                <c:pt idx="28">
                  <c:v>1070.2358154093258</c:v>
                </c:pt>
                <c:pt idx="29">
                  <c:v>1052.0734635527349</c:v>
                </c:pt>
                <c:pt idx="30">
                  <c:v>1034.3204047799022</c:v>
                </c:pt>
                <c:pt idx="31">
                  <c:v>1016.9660212595081</c:v>
                </c:pt>
                <c:pt idx="32">
                  <c:v>999.99999999999989</c:v>
                </c:pt>
                <c:pt idx="33">
                  <c:v>983.4123233315712</c:v>
                </c:pt>
                <c:pt idx="34">
                  <c:v>967.19325970805244</c:v>
                </c:pt>
                <c:pt idx="35">
                  <c:v>951.33335481721087</c:v>
                </c:pt>
                <c:pt idx="36">
                  <c:v>935.82342298840967</c:v>
                </c:pt>
                <c:pt idx="37">
                  <c:v>920.6545388869946</c:v>
                </c:pt>
                <c:pt idx="38">
                  <c:v>905.81802948517532</c:v>
                </c:pt>
                <c:pt idx="39">
                  <c:v>891.3054662995645</c:v>
                </c:pt>
                <c:pt idx="40">
                  <c:v>877.10865788590604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5E5-D249-84D0-2B2C5F7047FF}"/>
            </c:ext>
          </c:extLst>
        </c:ser>
        <c:ser>
          <c:idx val="9"/>
          <c:order val="9"/>
          <c:tx>
            <c:strRef>
              <c:f>'Exercise A'!$L$6</c:f>
              <c:strCache>
                <c:ptCount val="1"/>
                <c:pt idx="0">
                  <c:v>9.00%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'Exercise A'!$B$7:$B$47</c:f>
              <c:numCache>
                <c:formatCode>0.00%</c:formatCode>
                <c:ptCount val="41"/>
                <c:pt idx="0">
                  <c:v>0</c:v>
                </c:pt>
                <c:pt idx="1">
                  <c:v>2.5000000000000001E-3</c:v>
                </c:pt>
                <c:pt idx="2">
                  <c:v>5.0000000000000001E-3</c:v>
                </c:pt>
                <c:pt idx="3">
                  <c:v>7.4999999999999997E-3</c:v>
                </c:pt>
                <c:pt idx="4">
                  <c:v>0.01</c:v>
                </c:pt>
                <c:pt idx="5">
                  <c:v>1.2500000000000001E-2</c:v>
                </c:pt>
                <c:pt idx="6">
                  <c:v>1.5000000000000001E-2</c:v>
                </c:pt>
                <c:pt idx="7">
                  <c:v>1.7500000000000002E-2</c:v>
                </c:pt>
                <c:pt idx="8">
                  <c:v>0.02</c:v>
                </c:pt>
                <c:pt idx="9">
                  <c:v>2.2499999999999999E-2</c:v>
                </c:pt>
                <c:pt idx="10">
                  <c:v>2.4999999999999998E-2</c:v>
                </c:pt>
                <c:pt idx="11">
                  <c:v>2.7499999999999997E-2</c:v>
                </c:pt>
                <c:pt idx="12">
                  <c:v>2.9999999999999995E-2</c:v>
                </c:pt>
                <c:pt idx="13">
                  <c:v>3.2499999999999994E-2</c:v>
                </c:pt>
                <c:pt idx="14">
                  <c:v>3.4999999999999996E-2</c:v>
                </c:pt>
                <c:pt idx="15">
                  <c:v>3.7499999999999999E-2</c:v>
                </c:pt>
                <c:pt idx="16">
                  <c:v>0.04</c:v>
                </c:pt>
                <c:pt idx="17">
                  <c:v>4.2500000000000003E-2</c:v>
                </c:pt>
                <c:pt idx="18">
                  <c:v>4.5000000000000005E-2</c:v>
                </c:pt>
                <c:pt idx="19">
                  <c:v>4.7500000000000007E-2</c:v>
                </c:pt>
                <c:pt idx="20">
                  <c:v>5.000000000000001E-2</c:v>
                </c:pt>
                <c:pt idx="21">
                  <c:v>5.2500000000000012E-2</c:v>
                </c:pt>
                <c:pt idx="22">
                  <c:v>5.5000000000000014E-2</c:v>
                </c:pt>
                <c:pt idx="23">
                  <c:v>5.7500000000000016E-2</c:v>
                </c:pt>
                <c:pt idx="24">
                  <c:v>6.0000000000000019E-2</c:v>
                </c:pt>
                <c:pt idx="25">
                  <c:v>6.2500000000000014E-2</c:v>
                </c:pt>
                <c:pt idx="26">
                  <c:v>6.5000000000000016E-2</c:v>
                </c:pt>
                <c:pt idx="27">
                  <c:v>6.7500000000000018E-2</c:v>
                </c:pt>
                <c:pt idx="28">
                  <c:v>7.0000000000000021E-2</c:v>
                </c:pt>
                <c:pt idx="29">
                  <c:v>7.2500000000000023E-2</c:v>
                </c:pt>
                <c:pt idx="30">
                  <c:v>7.5000000000000025E-2</c:v>
                </c:pt>
                <c:pt idx="31">
                  <c:v>7.7500000000000027E-2</c:v>
                </c:pt>
                <c:pt idx="32">
                  <c:v>8.0000000000000029E-2</c:v>
                </c:pt>
                <c:pt idx="33">
                  <c:v>8.2500000000000032E-2</c:v>
                </c:pt>
                <c:pt idx="34">
                  <c:v>8.5000000000000034E-2</c:v>
                </c:pt>
                <c:pt idx="35">
                  <c:v>8.7500000000000036E-2</c:v>
                </c:pt>
                <c:pt idx="36">
                  <c:v>9.0000000000000038E-2</c:v>
                </c:pt>
                <c:pt idx="37">
                  <c:v>9.2500000000000041E-2</c:v>
                </c:pt>
                <c:pt idx="38">
                  <c:v>9.5000000000000043E-2</c:v>
                </c:pt>
                <c:pt idx="39">
                  <c:v>9.7500000000000045E-2</c:v>
                </c:pt>
                <c:pt idx="40">
                  <c:v>0.10000000000000005</c:v>
                </c:pt>
              </c:numCache>
            </c:numRef>
          </c:cat>
          <c:val>
            <c:numRef>
              <c:f>'Exercise A'!$L$7:$L$47</c:f>
              <c:numCache>
                <c:formatCode>0</c:formatCode>
                <c:ptCount val="41"/>
                <c:pt idx="0">
                  <c:v>1900</c:v>
                </c:pt>
                <c:pt idx="1">
                  <c:v>1863.0880917611692</c:v>
                </c:pt>
                <c:pt idx="2">
                  <c:v>1827.0850081668079</c:v>
                </c:pt>
                <c:pt idx="3">
                  <c:v>1791.9653151075604</c:v>
                </c:pt>
                <c:pt idx="4">
                  <c:v>1757.7043624561354</c:v>
                </c:pt>
                <c:pt idx="5">
                  <c:v>1724.2782578454005</c:v>
                </c:pt>
                <c:pt idx="6">
                  <c:v>1691.6638413890769</c:v>
                </c:pt>
                <c:pt idx="7">
                  <c:v>1659.8386613094488</c:v>
                </c:pt>
                <c:pt idx="8">
                  <c:v>1628.7809504369563</c:v>
                </c:pt>
                <c:pt idx="9">
                  <c:v>1598.4696035486281</c:v>
                </c:pt>
                <c:pt idx="10">
                  <c:v>1568.8841555131098</c:v>
                </c:pt>
                <c:pt idx="11">
                  <c:v>1540.0047602117961</c:v>
                </c:pt>
                <c:pt idx="12">
                  <c:v>1511.8121702065496</c:v>
                </c:pt>
                <c:pt idx="13">
                  <c:v>1484.2877171257899</c:v>
                </c:pt>
                <c:pt idx="14">
                  <c:v>1457.4132927417868</c:v>
                </c:pt>
                <c:pt idx="15">
                  <c:v>1431.1713307131899</c:v>
                </c:pt>
                <c:pt idx="16">
                  <c:v>1405.5447889677519</c:v>
                </c:pt>
                <c:pt idx="17">
                  <c:v>1380.5171327013124</c:v>
                </c:pt>
                <c:pt idx="18">
                  <c:v>1356.0723179699564</c:v>
                </c:pt>
                <c:pt idx="19">
                  <c:v>1332.1947758532651</c:v>
                </c:pt>
                <c:pt idx="20">
                  <c:v>1308.8693971673922</c:v>
                </c:pt>
                <c:pt idx="21">
                  <c:v>1286.0815177076011</c:v>
                </c:pt>
                <c:pt idx="22">
                  <c:v>1263.8169040006135</c:v>
                </c:pt>
                <c:pt idx="23">
                  <c:v>1242.0617395479926</c:v>
                </c:pt>
                <c:pt idx="24">
                  <c:v>1220.8026115424409</c:v>
                </c:pt>
                <c:pt idx="25">
                  <c:v>1200.0264980396557</c:v>
                </c:pt>
                <c:pt idx="26">
                  <c:v>1179.7207555690272</c:v>
                </c:pt>
                <c:pt idx="27">
                  <c:v>1159.8731071671409</c:v>
                </c:pt>
                <c:pt idx="28">
                  <c:v>1140.4716308186519</c:v>
                </c:pt>
                <c:pt idx="29">
                  <c:v>1121.5047482897155</c:v>
                </c:pt>
                <c:pt idx="30">
                  <c:v>1102.9612143397069</c:v>
                </c:pt>
                <c:pt idx="31">
                  <c:v>1084.8301062975422</c:v>
                </c:pt>
                <c:pt idx="32">
                  <c:v>1067.1008139894143</c:v>
                </c:pt>
                <c:pt idx="33">
                  <c:v>1049.7630300052856</c:v>
                </c:pt>
                <c:pt idx="34">
                  <c:v>1032.8067402919471</c:v>
                </c:pt>
                <c:pt idx="35">
                  <c:v>1016.2222150609296</c:v>
                </c:pt>
                <c:pt idx="36">
                  <c:v>999.99999999999977</c:v>
                </c:pt>
                <c:pt idx="37">
                  <c:v>984.13090777739865</c:v>
                </c:pt>
                <c:pt idx="38">
                  <c:v>968.60600982839162</c:v>
                </c:pt>
                <c:pt idx="39">
                  <c:v>953.41662841409891</c:v>
                </c:pt>
                <c:pt idx="40">
                  <c:v>938.55432894295291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5E5-D249-84D0-2B2C5F7047FF}"/>
            </c:ext>
          </c:extLst>
        </c:ser>
        <c:ser>
          <c:idx val="10"/>
          <c:order val="10"/>
          <c:tx>
            <c:strRef>
              <c:f>'Exercise A'!$M$6</c:f>
              <c:strCache>
                <c:ptCount val="1"/>
                <c:pt idx="0">
                  <c:v>10.00%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'Exercise A'!$B$7:$B$47</c:f>
              <c:numCache>
                <c:formatCode>0.00%</c:formatCode>
                <c:ptCount val="41"/>
                <c:pt idx="0">
                  <c:v>0</c:v>
                </c:pt>
                <c:pt idx="1">
                  <c:v>2.5000000000000001E-3</c:v>
                </c:pt>
                <c:pt idx="2">
                  <c:v>5.0000000000000001E-3</c:v>
                </c:pt>
                <c:pt idx="3">
                  <c:v>7.4999999999999997E-3</c:v>
                </c:pt>
                <c:pt idx="4">
                  <c:v>0.01</c:v>
                </c:pt>
                <c:pt idx="5">
                  <c:v>1.2500000000000001E-2</c:v>
                </c:pt>
                <c:pt idx="6">
                  <c:v>1.5000000000000001E-2</c:v>
                </c:pt>
                <c:pt idx="7">
                  <c:v>1.7500000000000002E-2</c:v>
                </c:pt>
                <c:pt idx="8">
                  <c:v>0.02</c:v>
                </c:pt>
                <c:pt idx="9">
                  <c:v>2.2499999999999999E-2</c:v>
                </c:pt>
                <c:pt idx="10">
                  <c:v>2.4999999999999998E-2</c:v>
                </c:pt>
                <c:pt idx="11">
                  <c:v>2.7499999999999997E-2</c:v>
                </c:pt>
                <c:pt idx="12">
                  <c:v>2.9999999999999995E-2</c:v>
                </c:pt>
                <c:pt idx="13">
                  <c:v>3.2499999999999994E-2</c:v>
                </c:pt>
                <c:pt idx="14">
                  <c:v>3.4999999999999996E-2</c:v>
                </c:pt>
                <c:pt idx="15">
                  <c:v>3.7499999999999999E-2</c:v>
                </c:pt>
                <c:pt idx="16">
                  <c:v>0.04</c:v>
                </c:pt>
                <c:pt idx="17">
                  <c:v>4.2500000000000003E-2</c:v>
                </c:pt>
                <c:pt idx="18">
                  <c:v>4.5000000000000005E-2</c:v>
                </c:pt>
                <c:pt idx="19">
                  <c:v>4.7500000000000007E-2</c:v>
                </c:pt>
                <c:pt idx="20">
                  <c:v>5.000000000000001E-2</c:v>
                </c:pt>
                <c:pt idx="21">
                  <c:v>5.2500000000000012E-2</c:v>
                </c:pt>
                <c:pt idx="22">
                  <c:v>5.5000000000000014E-2</c:v>
                </c:pt>
                <c:pt idx="23">
                  <c:v>5.7500000000000016E-2</c:v>
                </c:pt>
                <c:pt idx="24">
                  <c:v>6.0000000000000019E-2</c:v>
                </c:pt>
                <c:pt idx="25">
                  <c:v>6.2500000000000014E-2</c:v>
                </c:pt>
                <c:pt idx="26">
                  <c:v>6.5000000000000016E-2</c:v>
                </c:pt>
                <c:pt idx="27">
                  <c:v>6.7500000000000018E-2</c:v>
                </c:pt>
                <c:pt idx="28">
                  <c:v>7.0000000000000021E-2</c:v>
                </c:pt>
                <c:pt idx="29">
                  <c:v>7.2500000000000023E-2</c:v>
                </c:pt>
                <c:pt idx="30">
                  <c:v>7.5000000000000025E-2</c:v>
                </c:pt>
                <c:pt idx="31">
                  <c:v>7.7500000000000027E-2</c:v>
                </c:pt>
                <c:pt idx="32">
                  <c:v>8.0000000000000029E-2</c:v>
                </c:pt>
                <c:pt idx="33">
                  <c:v>8.2500000000000032E-2</c:v>
                </c:pt>
                <c:pt idx="34">
                  <c:v>8.5000000000000034E-2</c:v>
                </c:pt>
                <c:pt idx="35">
                  <c:v>8.7500000000000036E-2</c:v>
                </c:pt>
                <c:pt idx="36">
                  <c:v>9.0000000000000038E-2</c:v>
                </c:pt>
                <c:pt idx="37">
                  <c:v>9.2500000000000041E-2</c:v>
                </c:pt>
                <c:pt idx="38">
                  <c:v>9.5000000000000043E-2</c:v>
                </c:pt>
                <c:pt idx="39">
                  <c:v>9.7500000000000045E-2</c:v>
                </c:pt>
                <c:pt idx="40">
                  <c:v>0.10000000000000005</c:v>
                </c:pt>
              </c:numCache>
            </c:numRef>
          </c:cat>
          <c:val>
            <c:numRef>
              <c:f>'Exercise A'!$M$7:$M$47</c:f>
              <c:numCache>
                <c:formatCode>0</c:formatCode>
                <c:ptCount val="41"/>
                <c:pt idx="0">
                  <c:v>2000</c:v>
                </c:pt>
                <c:pt idx="1">
                  <c:v>1961.7267308195883</c:v>
                </c:pt>
                <c:pt idx="2">
                  <c:v>1924.3891267746676</c:v>
                </c:pt>
                <c:pt idx="3">
                  <c:v>1887.9611108781737</c:v>
                </c:pt>
                <c:pt idx="4">
                  <c:v>1852.4174077631519</c:v>
                </c:pt>
                <c:pt idx="5">
                  <c:v>1817.7335169222265</c:v>
                </c:pt>
                <c:pt idx="6">
                  <c:v>1783.8856869076201</c:v>
                </c:pt>
                <c:pt idx="7">
                  <c:v>1750.8508904555792</c:v>
                </c:pt>
                <c:pt idx="8">
                  <c:v>1718.6068004993788</c:v>
                </c:pt>
                <c:pt idx="9">
                  <c:v>1687.1317670373135</c:v>
                </c:pt>
                <c:pt idx="10">
                  <c:v>1656.4047948228188</c:v>
                </c:pt>
                <c:pt idx="11">
                  <c:v>1626.4055218456831</c:v>
                </c:pt>
                <c:pt idx="12">
                  <c:v>1597.1141985743079</c:v>
                </c:pt>
                <c:pt idx="13">
                  <c:v>1568.5116679302746</c:v>
                </c:pt>
                <c:pt idx="14">
                  <c:v>1540.5793459675658</c:v>
                </c:pt>
                <c:pt idx="15">
                  <c:v>1513.2992032299881</c:v>
                </c:pt>
                <c:pt idx="16">
                  <c:v>1486.6537467613018</c:v>
                </c:pt>
                <c:pt idx="17">
                  <c:v>1460.6260027436942</c:v>
                </c:pt>
                <c:pt idx="18">
                  <c:v>1435.1994997410579</c:v>
                </c:pt>
                <c:pt idx="19">
                  <c:v>1410.3582525246215</c:v>
                </c:pt>
                <c:pt idx="20">
                  <c:v>1386.0867464592404</c:v>
                </c:pt>
                <c:pt idx="21">
                  <c:v>1362.3699224296279</c:v>
                </c:pt>
                <c:pt idx="22">
                  <c:v>1339.1931622865029</c:v>
                </c:pt>
                <c:pt idx="23">
                  <c:v>1316.5422747935288</c:v>
                </c:pt>
                <c:pt idx="24">
                  <c:v>1294.403482056588</c:v>
                </c:pt>
                <c:pt idx="25">
                  <c:v>1272.7634064177123</c:v>
                </c:pt>
                <c:pt idx="26">
                  <c:v>1251.6090577966379</c:v>
                </c:pt>
                <c:pt idx="27">
                  <c:v>1230.9278214636479</c:v>
                </c:pt>
                <c:pt idx="28">
                  <c:v>1210.7074462279777</c:v>
                </c:pt>
                <c:pt idx="29">
                  <c:v>1190.9360330266954</c:v>
                </c:pt>
                <c:pt idx="30">
                  <c:v>1171.6020238995116</c:v>
                </c:pt>
                <c:pt idx="31">
                  <c:v>1152.6941913355759</c:v>
                </c:pt>
                <c:pt idx="32">
                  <c:v>1134.2016279788286</c:v>
                </c:pt>
                <c:pt idx="33">
                  <c:v>1116.1137366790001</c:v>
                </c:pt>
                <c:pt idx="34">
                  <c:v>1098.4202208758418</c:v>
                </c:pt>
                <c:pt idx="35">
                  <c:v>1081.111075304648</c:v>
                </c:pt>
                <c:pt idx="36">
                  <c:v>1064.1765770115896</c:v>
                </c:pt>
                <c:pt idx="37">
                  <c:v>1047.6072766678026</c:v>
                </c:pt>
                <c:pt idx="38">
                  <c:v>1031.3939901716078</c:v>
                </c:pt>
                <c:pt idx="39">
                  <c:v>1015.5277905286331</c:v>
                </c:pt>
                <c:pt idx="40">
                  <c:v>999.99999999999977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5E5-D249-84D0-2B2C5F704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935551"/>
        <c:axId val="1414937183"/>
      </c:lineChart>
      <c:catAx>
        <c:axId val="1414935551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4937183"/>
        <c:crosses val="autoZero"/>
        <c:auto val="1"/>
        <c:lblAlgn val="ctr"/>
        <c:lblOffset val="100"/>
        <c:noMultiLvlLbl val="0"/>
      </c:catAx>
      <c:valAx>
        <c:axId val="1414937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4935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82550</xdr:colOff>
      <xdr:row>4</xdr:row>
      <xdr:rowOff>184150</xdr:rowOff>
    </xdr:from>
    <xdr:to>
      <xdr:col>20</xdr:col>
      <xdr:colOff>635000</xdr:colOff>
      <xdr:row>22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E7113EA-905B-D84C-8A9A-60B105DB09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6D2F-AA5B-1A4B-8FB4-FF674BA05229}">
  <sheetPr codeName="Sheet1"/>
  <dimension ref="A2:N49"/>
  <sheetViews>
    <sheetView zoomScale="82" zoomScaleNormal="100" workbookViewId="0">
      <selection activeCell="P27" sqref="P27"/>
    </sheetView>
  </sheetViews>
  <sheetFormatPr baseColWidth="10" defaultColWidth="10.83203125" defaultRowHeight="16" x14ac:dyDescent="0.2"/>
  <cols>
    <col min="1" max="1" width="17.5" bestFit="1" customWidth="1"/>
    <col min="3" max="3" width="14.5" customWidth="1"/>
    <col min="4" max="4" width="15.1640625" customWidth="1"/>
  </cols>
  <sheetData>
    <row r="2" spans="1:14" x14ac:dyDescent="0.2">
      <c r="A2" t="s">
        <v>0</v>
      </c>
      <c r="B2">
        <v>1000</v>
      </c>
    </row>
    <row r="3" spans="1:14" x14ac:dyDescent="0.2">
      <c r="A3" t="s">
        <v>1</v>
      </c>
      <c r="B3">
        <v>10</v>
      </c>
    </row>
    <row r="5" spans="1:14" x14ac:dyDescent="0.2">
      <c r="C5" t="s">
        <v>3</v>
      </c>
    </row>
    <row r="6" spans="1:14" x14ac:dyDescent="0.2">
      <c r="C6" s="1">
        <v>0</v>
      </c>
      <c r="D6" s="1">
        <f>C6+1%</f>
        <v>0.01</v>
      </c>
      <c r="E6" s="1">
        <f t="shared" ref="E6:M6" si="0">D6+1%</f>
        <v>0.02</v>
      </c>
      <c r="F6" s="1">
        <f t="shared" si="0"/>
        <v>0.03</v>
      </c>
      <c r="G6" s="1">
        <f t="shared" si="0"/>
        <v>0.04</v>
      </c>
      <c r="H6" s="1">
        <f t="shared" si="0"/>
        <v>0.05</v>
      </c>
      <c r="I6" s="1">
        <f t="shared" si="0"/>
        <v>6.0000000000000005E-2</v>
      </c>
      <c r="J6" s="1">
        <f t="shared" si="0"/>
        <v>7.0000000000000007E-2</v>
      </c>
      <c r="K6" s="1">
        <f t="shared" si="0"/>
        <v>0.08</v>
      </c>
      <c r="L6" s="1">
        <f t="shared" si="0"/>
        <v>0.09</v>
      </c>
      <c r="M6" s="1">
        <f t="shared" si="0"/>
        <v>9.9999999999999992E-2</v>
      </c>
      <c r="N6" s="1"/>
    </row>
    <row r="7" spans="1:14" x14ac:dyDescent="0.2">
      <c r="A7" t="s">
        <v>2</v>
      </c>
      <c r="B7" s="1">
        <v>0</v>
      </c>
      <c r="C7" s="3">
        <f>ABS(PV($B7, $B$3, $B$2*C$6, $B$2, 0))</f>
        <v>1000</v>
      </c>
      <c r="D7" s="3">
        <f t="shared" ref="D7:M7" si="1">ABS(PV($B7, $B$3, $B$2*D$6, $B$2, 0))</f>
        <v>1100</v>
      </c>
      <c r="E7" s="3">
        <f t="shared" si="1"/>
        <v>1200</v>
      </c>
      <c r="F7" s="3">
        <f t="shared" si="1"/>
        <v>1300</v>
      </c>
      <c r="G7" s="3">
        <f t="shared" si="1"/>
        <v>1400</v>
      </c>
      <c r="H7" s="3">
        <f t="shared" si="1"/>
        <v>1500</v>
      </c>
      <c r="I7" s="3">
        <f t="shared" si="1"/>
        <v>1600</v>
      </c>
      <c r="J7" s="3">
        <f t="shared" si="1"/>
        <v>1700</v>
      </c>
      <c r="K7" s="3">
        <f t="shared" si="1"/>
        <v>1800</v>
      </c>
      <c r="L7" s="3">
        <f t="shared" si="1"/>
        <v>1900</v>
      </c>
      <c r="M7" s="3">
        <f t="shared" si="1"/>
        <v>2000</v>
      </c>
    </row>
    <row r="8" spans="1:14" x14ac:dyDescent="0.2">
      <c r="B8" s="1">
        <f>B7+0.25%</f>
        <v>2.5000000000000001E-3</v>
      </c>
      <c r="C8" s="3">
        <f t="shared" ref="C8:M47" si="2">ABS(PV($B8, $B$3, $B$2*C$6, $B$2, 0))</f>
        <v>975.34034023539516</v>
      </c>
      <c r="D8" s="3">
        <f t="shared" si="2"/>
        <v>1073.9789792938145</v>
      </c>
      <c r="E8" s="3">
        <f t="shared" si="2"/>
        <v>1172.6176183522339</v>
      </c>
      <c r="F8" s="3">
        <f t="shared" si="2"/>
        <v>1271.2562574106532</v>
      </c>
      <c r="G8" s="3">
        <f t="shared" si="2"/>
        <v>1369.8948964690724</v>
      </c>
      <c r="H8" s="3">
        <f t="shared" si="2"/>
        <v>1468.5335355274919</v>
      </c>
      <c r="I8" s="3">
        <f t="shared" si="2"/>
        <v>1567.1721745859113</v>
      </c>
      <c r="J8" s="3">
        <f t="shared" si="2"/>
        <v>1665.8108136443307</v>
      </c>
      <c r="K8" s="3">
        <f t="shared" si="2"/>
        <v>1764.4494527027498</v>
      </c>
      <c r="L8" s="3">
        <f t="shared" si="2"/>
        <v>1863.0880917611692</v>
      </c>
      <c r="M8" s="3">
        <f t="shared" si="2"/>
        <v>1961.7267308195883</v>
      </c>
    </row>
    <row r="9" spans="1:14" x14ac:dyDescent="0.2">
      <c r="B9" s="1">
        <f t="shared" ref="B9:B47" si="3">B8+0.25%</f>
        <v>5.0000000000000001E-3</v>
      </c>
      <c r="C9" s="3">
        <f t="shared" si="2"/>
        <v>951.34794069607017</v>
      </c>
      <c r="D9" s="3">
        <f t="shared" si="2"/>
        <v>1048.6520593039297</v>
      </c>
      <c r="E9" s="3">
        <f t="shared" si="2"/>
        <v>1145.9561779117896</v>
      </c>
      <c r="F9" s="3">
        <f t="shared" si="2"/>
        <v>1243.2602965196495</v>
      </c>
      <c r="G9" s="3">
        <f t="shared" si="2"/>
        <v>1340.5644151275092</v>
      </c>
      <c r="H9" s="3">
        <f t="shared" si="2"/>
        <v>1437.8685337353688</v>
      </c>
      <c r="I9" s="3">
        <f t="shared" si="2"/>
        <v>1535.1726523432287</v>
      </c>
      <c r="J9" s="3">
        <f t="shared" si="2"/>
        <v>1632.4767709510884</v>
      </c>
      <c r="K9" s="3">
        <f t="shared" si="2"/>
        <v>1729.780889558948</v>
      </c>
      <c r="L9" s="3">
        <f t="shared" si="2"/>
        <v>1827.0850081668079</v>
      </c>
      <c r="M9" s="3">
        <f t="shared" si="2"/>
        <v>1924.3891267746676</v>
      </c>
    </row>
    <row r="10" spans="1:14" x14ac:dyDescent="0.2">
      <c r="B10" s="1">
        <f t="shared" si="3"/>
        <v>7.4999999999999997E-3</v>
      </c>
      <c r="C10" s="3">
        <f>ABS(PV($B10, $B$3, $B$2*C$6, $B$2, 0))</f>
        <v>928.0031531720399</v>
      </c>
      <c r="D10" s="3">
        <f t="shared" si="2"/>
        <v>1023.9989489426533</v>
      </c>
      <c r="E10" s="3">
        <f t="shared" si="2"/>
        <v>1119.9947447132668</v>
      </c>
      <c r="F10" s="3">
        <f t="shared" si="2"/>
        <v>1215.9905404838801</v>
      </c>
      <c r="G10" s="3">
        <f t="shared" si="2"/>
        <v>1311.9863362544936</v>
      </c>
      <c r="H10" s="3">
        <f t="shared" si="2"/>
        <v>1407.9821320251069</v>
      </c>
      <c r="I10" s="3">
        <f t="shared" si="2"/>
        <v>1503.9779277957202</v>
      </c>
      <c r="J10" s="3">
        <f t="shared" si="2"/>
        <v>1599.9737235663338</v>
      </c>
      <c r="K10" s="3">
        <f t="shared" si="2"/>
        <v>1695.9695193369471</v>
      </c>
      <c r="L10" s="3">
        <f t="shared" si="2"/>
        <v>1791.9653151075604</v>
      </c>
      <c r="M10" s="3">
        <f t="shared" si="2"/>
        <v>1887.9611108781737</v>
      </c>
    </row>
    <row r="11" spans="1:14" x14ac:dyDescent="0.2">
      <c r="B11" s="1">
        <f t="shared" si="3"/>
        <v>0.01</v>
      </c>
      <c r="C11" s="3">
        <f t="shared" si="2"/>
        <v>905.28695469298304</v>
      </c>
      <c r="D11" s="3">
        <f t="shared" si="2"/>
        <v>1000</v>
      </c>
      <c r="E11" s="3">
        <f t="shared" si="2"/>
        <v>1094.7130453070167</v>
      </c>
      <c r="F11" s="3">
        <f t="shared" si="2"/>
        <v>1189.4260906140337</v>
      </c>
      <c r="G11" s="3">
        <f t="shared" si="2"/>
        <v>1284.1391359210506</v>
      </c>
      <c r="H11" s="3">
        <f t="shared" si="2"/>
        <v>1378.8521812280674</v>
      </c>
      <c r="I11" s="3">
        <f t="shared" si="2"/>
        <v>1473.5652265350845</v>
      </c>
      <c r="J11" s="3">
        <f t="shared" si="2"/>
        <v>1568.2782718421013</v>
      </c>
      <c r="K11" s="3">
        <f t="shared" si="2"/>
        <v>1662.9913171491182</v>
      </c>
      <c r="L11" s="3">
        <f t="shared" si="2"/>
        <v>1757.7043624561354</v>
      </c>
      <c r="M11" s="3">
        <f t="shared" si="2"/>
        <v>1852.4174077631519</v>
      </c>
    </row>
    <row r="12" spans="1:14" x14ac:dyDescent="0.2">
      <c r="B12" s="1">
        <f t="shared" si="3"/>
        <v>1.2500000000000001E-2</v>
      </c>
      <c r="C12" s="3">
        <f t="shared" si="2"/>
        <v>883.18092615396768</v>
      </c>
      <c r="D12" s="3">
        <f t="shared" si="2"/>
        <v>976.63618523079344</v>
      </c>
      <c r="E12" s="3">
        <f t="shared" si="2"/>
        <v>1070.0914443076192</v>
      </c>
      <c r="F12" s="3">
        <f t="shared" si="2"/>
        <v>1163.5467033844454</v>
      </c>
      <c r="G12" s="3">
        <f t="shared" si="2"/>
        <v>1257.0019624612712</v>
      </c>
      <c r="H12" s="3">
        <f t="shared" si="2"/>
        <v>1350.457221538097</v>
      </c>
      <c r="I12" s="3">
        <f t="shared" si="2"/>
        <v>1443.9124806149232</v>
      </c>
      <c r="J12" s="3">
        <f t="shared" si="2"/>
        <v>1537.367739691749</v>
      </c>
      <c r="K12" s="3">
        <f t="shared" si="2"/>
        <v>1630.8229987685747</v>
      </c>
      <c r="L12" s="3">
        <f t="shared" si="2"/>
        <v>1724.2782578454005</v>
      </c>
      <c r="M12" s="3">
        <f t="shared" si="2"/>
        <v>1817.7335169222265</v>
      </c>
    </row>
    <row r="13" spans="1:14" x14ac:dyDescent="0.2">
      <c r="B13" s="1">
        <f t="shared" si="3"/>
        <v>1.5000000000000001E-2</v>
      </c>
      <c r="C13" s="3">
        <f t="shared" si="2"/>
        <v>861.66723172218462</v>
      </c>
      <c r="D13" s="3">
        <f t="shared" si="2"/>
        <v>953.88907724072828</v>
      </c>
      <c r="E13" s="3">
        <f t="shared" si="2"/>
        <v>1046.1109227592717</v>
      </c>
      <c r="F13" s="3">
        <f t="shared" si="2"/>
        <v>1138.3327682778151</v>
      </c>
      <c r="G13" s="3">
        <f t="shared" si="2"/>
        <v>1230.554613796359</v>
      </c>
      <c r="H13" s="3">
        <f t="shared" si="2"/>
        <v>1322.7764593149027</v>
      </c>
      <c r="I13" s="3">
        <f t="shared" si="2"/>
        <v>1414.9983048334461</v>
      </c>
      <c r="J13" s="3">
        <f t="shared" si="2"/>
        <v>1507.2201503519896</v>
      </c>
      <c r="K13" s="3">
        <f t="shared" si="2"/>
        <v>1599.4419958705332</v>
      </c>
      <c r="L13" s="3">
        <f t="shared" si="2"/>
        <v>1691.6638413890769</v>
      </c>
      <c r="M13" s="3">
        <f t="shared" si="2"/>
        <v>1783.8856869076201</v>
      </c>
    </row>
    <row r="14" spans="1:14" x14ac:dyDescent="0.2">
      <c r="B14" s="1">
        <f t="shared" si="3"/>
        <v>1.7500000000000002E-2</v>
      </c>
      <c r="C14" s="3">
        <f t="shared" si="2"/>
        <v>840.72859899427101</v>
      </c>
      <c r="D14" s="3">
        <f t="shared" si="2"/>
        <v>931.74082814040185</v>
      </c>
      <c r="E14" s="3">
        <f t="shared" si="2"/>
        <v>1022.7530572865327</v>
      </c>
      <c r="F14" s="3">
        <f t="shared" si="2"/>
        <v>1113.7652864326635</v>
      </c>
      <c r="G14" s="3">
        <f t="shared" si="2"/>
        <v>1204.7775155787942</v>
      </c>
      <c r="H14" s="3">
        <f t="shared" si="2"/>
        <v>1295.7897447249254</v>
      </c>
      <c r="I14" s="3">
        <f t="shared" si="2"/>
        <v>1386.8019738710561</v>
      </c>
      <c r="J14" s="3">
        <f t="shared" si="2"/>
        <v>1477.8142030171871</v>
      </c>
      <c r="K14" s="3">
        <f t="shared" si="2"/>
        <v>1568.8264321633178</v>
      </c>
      <c r="L14" s="3">
        <f t="shared" si="2"/>
        <v>1659.8386613094488</v>
      </c>
      <c r="M14" s="3">
        <f t="shared" si="2"/>
        <v>1750.8508904555792</v>
      </c>
    </row>
    <row r="15" spans="1:14" x14ac:dyDescent="0.2">
      <c r="B15" s="1">
        <f t="shared" si="3"/>
        <v>0.02</v>
      </c>
      <c r="C15" s="3">
        <f t="shared" si="2"/>
        <v>820.34829987515525</v>
      </c>
      <c r="D15" s="3">
        <f t="shared" si="2"/>
        <v>910.17414993757768</v>
      </c>
      <c r="E15" s="3">
        <f t="shared" si="2"/>
        <v>1000.0000000000001</v>
      </c>
      <c r="F15" s="3">
        <f t="shared" si="2"/>
        <v>1089.8258500624222</v>
      </c>
      <c r="G15" s="3">
        <f t="shared" si="2"/>
        <v>1179.6517001248446</v>
      </c>
      <c r="H15" s="3">
        <f t="shared" si="2"/>
        <v>1269.4775501872671</v>
      </c>
      <c r="I15" s="3">
        <f t="shared" si="2"/>
        <v>1359.3034002496893</v>
      </c>
      <c r="J15" s="3">
        <f t="shared" si="2"/>
        <v>1449.1292503121117</v>
      </c>
      <c r="K15" s="3">
        <f t="shared" si="2"/>
        <v>1538.9551003745341</v>
      </c>
      <c r="L15" s="3">
        <f t="shared" si="2"/>
        <v>1628.7809504369563</v>
      </c>
      <c r="M15" s="3">
        <f t="shared" si="2"/>
        <v>1718.6068004993788</v>
      </c>
    </row>
    <row r="16" spans="1:14" x14ac:dyDescent="0.2">
      <c r="B16" s="1">
        <f t="shared" si="3"/>
        <v>2.2499999999999999E-2</v>
      </c>
      <c r="C16" s="3">
        <f t="shared" si="2"/>
        <v>800.51013215045737</v>
      </c>
      <c r="D16" s="3">
        <f t="shared" si="2"/>
        <v>889.17229563914304</v>
      </c>
      <c r="E16" s="3">
        <f t="shared" si="2"/>
        <v>977.83445912782861</v>
      </c>
      <c r="F16" s="3">
        <f t="shared" si="2"/>
        <v>1066.4966226165143</v>
      </c>
      <c r="G16" s="3">
        <f t="shared" si="2"/>
        <v>1155.1587861051999</v>
      </c>
      <c r="H16" s="3">
        <f t="shared" si="2"/>
        <v>1243.8209495938854</v>
      </c>
      <c r="I16" s="3">
        <f t="shared" si="2"/>
        <v>1332.4831130825712</v>
      </c>
      <c r="J16" s="3">
        <f t="shared" si="2"/>
        <v>1421.1452765712568</v>
      </c>
      <c r="K16" s="3">
        <f t="shared" si="2"/>
        <v>1509.8074400599423</v>
      </c>
      <c r="L16" s="3">
        <f t="shared" si="2"/>
        <v>1598.4696035486281</v>
      </c>
      <c r="M16" s="3">
        <f t="shared" si="2"/>
        <v>1687.1317670373135</v>
      </c>
    </row>
    <row r="17" spans="2:13" x14ac:dyDescent="0.2">
      <c r="B17" s="1">
        <f t="shared" si="3"/>
        <v>2.4999999999999998E-2</v>
      </c>
      <c r="C17" s="3">
        <f t="shared" si="2"/>
        <v>781.19840172572708</v>
      </c>
      <c r="D17" s="3">
        <f t="shared" si="2"/>
        <v>868.71904103543625</v>
      </c>
      <c r="E17" s="3">
        <f t="shared" si="2"/>
        <v>956.23968034514542</v>
      </c>
      <c r="F17" s="3">
        <f t="shared" si="2"/>
        <v>1043.7603196548546</v>
      </c>
      <c r="G17" s="3">
        <f t="shared" si="2"/>
        <v>1131.2809589645638</v>
      </c>
      <c r="H17" s="3">
        <f t="shared" si="2"/>
        <v>1218.8015982742729</v>
      </c>
      <c r="I17" s="3">
        <f t="shared" si="2"/>
        <v>1306.3222375839821</v>
      </c>
      <c r="J17" s="3">
        <f t="shared" si="2"/>
        <v>1393.8428768936913</v>
      </c>
      <c r="K17" s="3">
        <f t="shared" si="2"/>
        <v>1481.3635162034004</v>
      </c>
      <c r="L17" s="3">
        <f t="shared" si="2"/>
        <v>1568.8841555131098</v>
      </c>
      <c r="M17" s="3">
        <f t="shared" si="2"/>
        <v>1656.4047948228188</v>
      </c>
    </row>
    <row r="18" spans="2:13" x14ac:dyDescent="0.2">
      <c r="B18" s="1">
        <f t="shared" si="3"/>
        <v>2.7499999999999997E-2</v>
      </c>
      <c r="C18" s="3">
        <f t="shared" si="2"/>
        <v>762.39790550680982</v>
      </c>
      <c r="D18" s="3">
        <f t="shared" si="2"/>
        <v>848.79866714069715</v>
      </c>
      <c r="E18" s="3">
        <f t="shared" si="2"/>
        <v>935.19942877458448</v>
      </c>
      <c r="F18" s="3">
        <f t="shared" si="2"/>
        <v>1021.6001904084718</v>
      </c>
      <c r="G18" s="3">
        <f t="shared" si="2"/>
        <v>1108.0009520423594</v>
      </c>
      <c r="H18" s="3">
        <f t="shared" si="2"/>
        <v>1194.4017136762466</v>
      </c>
      <c r="I18" s="3">
        <f t="shared" si="2"/>
        <v>1280.802475310134</v>
      </c>
      <c r="J18" s="3">
        <f t="shared" si="2"/>
        <v>1367.2032369440215</v>
      </c>
      <c r="K18" s="3">
        <f t="shared" si="2"/>
        <v>1453.6039985779089</v>
      </c>
      <c r="L18" s="3">
        <f t="shared" si="2"/>
        <v>1540.0047602117961</v>
      </c>
      <c r="M18" s="3">
        <f t="shared" si="2"/>
        <v>1626.4055218456831</v>
      </c>
    </row>
    <row r="19" spans="2:13" x14ac:dyDescent="0.2">
      <c r="B19" s="1">
        <f t="shared" si="3"/>
        <v>2.9999999999999995E-2</v>
      </c>
      <c r="C19" s="3">
        <f t="shared" si="2"/>
        <v>744.09391489672521</v>
      </c>
      <c r="D19" s="3">
        <f t="shared" si="2"/>
        <v>829.39594326448355</v>
      </c>
      <c r="E19" s="3">
        <f t="shared" si="2"/>
        <v>914.69797163224177</v>
      </c>
      <c r="F19" s="3">
        <f t="shared" si="2"/>
        <v>1000.0000000000001</v>
      </c>
      <c r="G19" s="3">
        <f t="shared" si="2"/>
        <v>1085.3020283677583</v>
      </c>
      <c r="H19" s="3">
        <f t="shared" si="2"/>
        <v>1170.6040567355167</v>
      </c>
      <c r="I19" s="3">
        <f t="shared" si="2"/>
        <v>1255.906085103275</v>
      </c>
      <c r="J19" s="3">
        <f t="shared" si="2"/>
        <v>1341.2081134710331</v>
      </c>
      <c r="K19" s="3">
        <f t="shared" si="2"/>
        <v>1426.5101418387912</v>
      </c>
      <c r="L19" s="3">
        <f t="shared" si="2"/>
        <v>1511.8121702065496</v>
      </c>
      <c r="M19" s="3">
        <f t="shared" si="2"/>
        <v>1597.1141985743079</v>
      </c>
    </row>
    <row r="20" spans="2:13" x14ac:dyDescent="0.2">
      <c r="B20" s="1">
        <f t="shared" si="3"/>
        <v>3.2499999999999994E-2</v>
      </c>
      <c r="C20" s="3">
        <f t="shared" si="2"/>
        <v>726.27215988542321</v>
      </c>
      <c r="D20" s="3">
        <f t="shared" si="2"/>
        <v>810.49611068990839</v>
      </c>
      <c r="E20" s="3">
        <f t="shared" si="2"/>
        <v>894.72006149439346</v>
      </c>
      <c r="F20" s="3">
        <f t="shared" si="2"/>
        <v>978.94401229887887</v>
      </c>
      <c r="G20" s="3">
        <f t="shared" si="2"/>
        <v>1063.1679631033639</v>
      </c>
      <c r="H20" s="3">
        <f t="shared" si="2"/>
        <v>1147.3919139078491</v>
      </c>
      <c r="I20" s="3">
        <f t="shared" si="2"/>
        <v>1231.6158647123345</v>
      </c>
      <c r="J20" s="3">
        <f t="shared" si="2"/>
        <v>1315.8398155168195</v>
      </c>
      <c r="K20" s="3">
        <f t="shared" si="2"/>
        <v>1400.0637663213047</v>
      </c>
      <c r="L20" s="3">
        <f t="shared" si="2"/>
        <v>1484.2877171257899</v>
      </c>
      <c r="M20" s="3">
        <f t="shared" si="2"/>
        <v>1568.5116679302746</v>
      </c>
    </row>
    <row r="21" spans="2:13" x14ac:dyDescent="0.2">
      <c r="B21" s="1">
        <f t="shared" si="3"/>
        <v>3.4999999999999996E-2</v>
      </c>
      <c r="C21" s="3">
        <f t="shared" si="2"/>
        <v>708.91881370977217</v>
      </c>
      <c r="D21" s="3">
        <f t="shared" si="2"/>
        <v>792.08486693555164</v>
      </c>
      <c r="E21" s="3">
        <f t="shared" si="2"/>
        <v>875.2509201613309</v>
      </c>
      <c r="F21" s="3">
        <f t="shared" si="2"/>
        <v>958.41697338711037</v>
      </c>
      <c r="G21" s="3">
        <f t="shared" si="2"/>
        <v>1041.5830266128899</v>
      </c>
      <c r="H21" s="3">
        <f t="shared" si="2"/>
        <v>1124.7490798386691</v>
      </c>
      <c r="I21" s="3">
        <f t="shared" si="2"/>
        <v>1207.9151330644486</v>
      </c>
      <c r="J21" s="3">
        <f t="shared" si="2"/>
        <v>1291.0811862902278</v>
      </c>
      <c r="K21" s="3">
        <f t="shared" si="2"/>
        <v>1374.2472395160073</v>
      </c>
      <c r="L21" s="3">
        <f t="shared" si="2"/>
        <v>1457.4132927417868</v>
      </c>
      <c r="M21" s="3">
        <f t="shared" si="2"/>
        <v>1540.5793459675658</v>
      </c>
    </row>
    <row r="22" spans="2:13" x14ac:dyDescent="0.2">
      <c r="B22" s="1">
        <f t="shared" si="3"/>
        <v>3.7499999999999999E-2</v>
      </c>
      <c r="C22" s="3">
        <f t="shared" si="2"/>
        <v>692.0204780620071</v>
      </c>
      <c r="D22" s="3">
        <f t="shared" si="2"/>
        <v>774.14835057880521</v>
      </c>
      <c r="E22" s="3">
        <f t="shared" si="2"/>
        <v>856.27622309560331</v>
      </c>
      <c r="F22" s="3">
        <f t="shared" si="2"/>
        <v>938.40409561240142</v>
      </c>
      <c r="G22" s="3">
        <f t="shared" si="2"/>
        <v>1020.5319681291994</v>
      </c>
      <c r="H22" s="3">
        <f t="shared" si="2"/>
        <v>1102.6598406459977</v>
      </c>
      <c r="I22" s="3">
        <f t="shared" si="2"/>
        <v>1184.7877131627959</v>
      </c>
      <c r="J22" s="3">
        <f t="shared" si="2"/>
        <v>1266.915585679594</v>
      </c>
      <c r="K22" s="3">
        <f t="shared" si="2"/>
        <v>1349.0434581963921</v>
      </c>
      <c r="L22" s="3">
        <f t="shared" si="2"/>
        <v>1431.1713307131899</v>
      </c>
      <c r="M22" s="3">
        <f t="shared" si="2"/>
        <v>1513.2992032299881</v>
      </c>
    </row>
    <row r="23" spans="2:13" x14ac:dyDescent="0.2">
      <c r="B23" s="1">
        <f t="shared" si="3"/>
        <v>0.04</v>
      </c>
      <c r="C23" s="3">
        <f t="shared" si="2"/>
        <v>675.56416882579856</v>
      </c>
      <c r="D23" s="3">
        <f t="shared" si="2"/>
        <v>756.67312661934886</v>
      </c>
      <c r="E23" s="3">
        <f t="shared" si="2"/>
        <v>837.78208441289917</v>
      </c>
      <c r="F23" s="3">
        <f t="shared" si="2"/>
        <v>918.89104220644958</v>
      </c>
      <c r="G23" s="3">
        <f t="shared" si="2"/>
        <v>999.99999999999989</v>
      </c>
      <c r="H23" s="3">
        <f t="shared" si="2"/>
        <v>1081.1089577935504</v>
      </c>
      <c r="I23" s="3">
        <f t="shared" si="2"/>
        <v>1162.2179155871008</v>
      </c>
      <c r="J23" s="3">
        <f t="shared" si="2"/>
        <v>1243.326873380651</v>
      </c>
      <c r="K23" s="3">
        <f t="shared" si="2"/>
        <v>1324.4358311742014</v>
      </c>
      <c r="L23" s="3">
        <f t="shared" si="2"/>
        <v>1405.5447889677519</v>
      </c>
      <c r="M23" s="3">
        <f t="shared" si="2"/>
        <v>1486.6537467613018</v>
      </c>
    </row>
    <row r="24" spans="2:13" x14ac:dyDescent="0.2">
      <c r="B24" s="1">
        <f t="shared" si="3"/>
        <v>4.2500000000000003E-2</v>
      </c>
      <c r="C24" s="3">
        <f t="shared" si="2"/>
        <v>659.53730231987822</v>
      </c>
      <c r="D24" s="3">
        <f t="shared" si="2"/>
        <v>739.6461723622599</v>
      </c>
      <c r="E24" s="3">
        <f t="shared" si="2"/>
        <v>819.75504240464147</v>
      </c>
      <c r="F24" s="3">
        <f t="shared" si="2"/>
        <v>899.86391244702304</v>
      </c>
      <c r="G24" s="3">
        <f t="shared" si="2"/>
        <v>979.97278248940461</v>
      </c>
      <c r="H24" s="3">
        <f t="shared" si="2"/>
        <v>1060.0816525317862</v>
      </c>
      <c r="I24" s="3">
        <f t="shared" si="2"/>
        <v>1140.1905225741677</v>
      </c>
      <c r="J24" s="3">
        <f t="shared" si="2"/>
        <v>1220.2993926165493</v>
      </c>
      <c r="K24" s="3">
        <f t="shared" si="2"/>
        <v>1300.4082626589309</v>
      </c>
      <c r="L24" s="3">
        <f t="shared" si="2"/>
        <v>1380.5171327013124</v>
      </c>
      <c r="M24" s="3">
        <f t="shared" si="2"/>
        <v>1460.6260027436942</v>
      </c>
    </row>
    <row r="25" spans="2:13" x14ac:dyDescent="0.2">
      <c r="B25" s="1">
        <f t="shared" si="3"/>
        <v>4.5000000000000005E-2</v>
      </c>
      <c r="C25" s="3">
        <f t="shared" si="2"/>
        <v>643.92768203004323</v>
      </c>
      <c r="D25" s="3">
        <f t="shared" si="2"/>
        <v>723.05486380114473</v>
      </c>
      <c r="E25" s="3">
        <f t="shared" si="2"/>
        <v>802.18204557224624</v>
      </c>
      <c r="F25" s="3">
        <f t="shared" si="2"/>
        <v>881.30922734334774</v>
      </c>
      <c r="G25" s="3">
        <f t="shared" si="2"/>
        <v>960.43640911444925</v>
      </c>
      <c r="H25" s="3">
        <f t="shared" si="2"/>
        <v>1039.5635908855506</v>
      </c>
      <c r="I25" s="3">
        <f t="shared" si="2"/>
        <v>1118.6907726566521</v>
      </c>
      <c r="J25" s="3">
        <f t="shared" si="2"/>
        <v>1197.8179544277536</v>
      </c>
      <c r="K25" s="3">
        <f t="shared" si="2"/>
        <v>1276.9451361988552</v>
      </c>
      <c r="L25" s="3">
        <f t="shared" si="2"/>
        <v>1356.0723179699564</v>
      </c>
      <c r="M25" s="3">
        <f t="shared" si="2"/>
        <v>1435.1994997410579</v>
      </c>
    </row>
    <row r="26" spans="2:13" x14ac:dyDescent="0.2">
      <c r="B26" s="1">
        <f t="shared" si="3"/>
        <v>4.7500000000000007E-2</v>
      </c>
      <c r="C26" s="3">
        <f t="shared" si="2"/>
        <v>628.72348581105655</v>
      </c>
      <c r="D26" s="3">
        <f t="shared" si="2"/>
        <v>706.88696248241308</v>
      </c>
      <c r="E26" s="3">
        <f t="shared" si="2"/>
        <v>785.05043915376962</v>
      </c>
      <c r="F26" s="3">
        <f t="shared" si="2"/>
        <v>863.21391582512615</v>
      </c>
      <c r="G26" s="3">
        <f t="shared" si="2"/>
        <v>941.37739249648257</v>
      </c>
      <c r="H26" s="3">
        <f t="shared" si="2"/>
        <v>1019.5408691678391</v>
      </c>
      <c r="I26" s="3">
        <f t="shared" si="2"/>
        <v>1097.7043458391956</v>
      </c>
      <c r="J26" s="3">
        <f t="shared" si="2"/>
        <v>1175.8678225105521</v>
      </c>
      <c r="K26" s="3">
        <f t="shared" si="2"/>
        <v>1254.0312991819087</v>
      </c>
      <c r="L26" s="3">
        <f t="shared" si="2"/>
        <v>1332.1947758532651</v>
      </c>
      <c r="M26" s="3">
        <f t="shared" si="2"/>
        <v>1410.3582525246215</v>
      </c>
    </row>
    <row r="27" spans="2:13" x14ac:dyDescent="0.2">
      <c r="B27" s="1">
        <f t="shared" si="3"/>
        <v>5.000000000000001E-2</v>
      </c>
      <c r="C27" s="3">
        <f t="shared" si="2"/>
        <v>613.91325354075934</v>
      </c>
      <c r="D27" s="3">
        <f t="shared" si="2"/>
        <v>691.13060283260745</v>
      </c>
      <c r="E27" s="3">
        <f t="shared" si="2"/>
        <v>768.34795212445545</v>
      </c>
      <c r="F27" s="3">
        <f t="shared" si="2"/>
        <v>845.56530141630367</v>
      </c>
      <c r="G27" s="3">
        <f t="shared" si="2"/>
        <v>922.78265070815178</v>
      </c>
      <c r="H27" s="3">
        <f t="shared" si="2"/>
        <v>999.99999999999989</v>
      </c>
      <c r="I27" s="3">
        <f t="shared" si="2"/>
        <v>1077.217349291848</v>
      </c>
      <c r="J27" s="3">
        <f t="shared" si="2"/>
        <v>1154.4346985836962</v>
      </c>
      <c r="K27" s="3">
        <f t="shared" si="2"/>
        <v>1231.6520478755444</v>
      </c>
      <c r="L27" s="3">
        <f t="shared" si="2"/>
        <v>1308.8693971673922</v>
      </c>
      <c r="M27" s="3">
        <f t="shared" si="2"/>
        <v>1386.0867464592404</v>
      </c>
    </row>
    <row r="28" spans="2:13" x14ac:dyDescent="0.2">
      <c r="B28" s="1">
        <f t="shared" si="3"/>
        <v>5.2500000000000012E-2</v>
      </c>
      <c r="C28" s="3">
        <f t="shared" si="2"/>
        <v>599.48587520935848</v>
      </c>
      <c r="D28" s="3">
        <f t="shared" si="2"/>
        <v>675.77427993138542</v>
      </c>
      <c r="E28" s="3">
        <f t="shared" si="2"/>
        <v>752.06268465341236</v>
      </c>
      <c r="F28" s="3">
        <f t="shared" si="2"/>
        <v>828.3510893754393</v>
      </c>
      <c r="G28" s="3">
        <f t="shared" si="2"/>
        <v>904.63949409746624</v>
      </c>
      <c r="H28" s="3">
        <f t="shared" si="2"/>
        <v>980.92789881949318</v>
      </c>
      <c r="I28" s="3">
        <f t="shared" si="2"/>
        <v>1057.2163035415201</v>
      </c>
      <c r="J28" s="3">
        <f t="shared" si="2"/>
        <v>1133.5047082635472</v>
      </c>
      <c r="K28" s="3">
        <f t="shared" si="2"/>
        <v>1209.793112985574</v>
      </c>
      <c r="L28" s="3">
        <f t="shared" si="2"/>
        <v>1286.0815177076011</v>
      </c>
      <c r="M28" s="3">
        <f t="shared" si="2"/>
        <v>1362.3699224296279</v>
      </c>
    </row>
    <row r="29" spans="2:13" x14ac:dyDescent="0.2">
      <c r="B29" s="1">
        <f t="shared" si="3"/>
        <v>5.5000000000000014E-2</v>
      </c>
      <c r="C29" s="3">
        <f t="shared" si="2"/>
        <v>585.43057942760709</v>
      </c>
      <c r="D29" s="3">
        <f t="shared" si="2"/>
        <v>660.80683771349663</v>
      </c>
      <c r="E29" s="3">
        <f t="shared" si="2"/>
        <v>736.1830959993863</v>
      </c>
      <c r="F29" s="3">
        <f t="shared" si="2"/>
        <v>811.55935428527584</v>
      </c>
      <c r="G29" s="3">
        <f t="shared" si="2"/>
        <v>886.93561257116539</v>
      </c>
      <c r="H29" s="3">
        <f t="shared" si="2"/>
        <v>962.31187085705506</v>
      </c>
      <c r="I29" s="3">
        <f t="shared" ref="D29:M44" si="4">ABS(PV($B29, $B$3, $B$2*I$6, $B$2, 0))</f>
        <v>1037.6881291429447</v>
      </c>
      <c r="J29" s="3">
        <f t="shared" si="4"/>
        <v>1113.0643874288342</v>
      </c>
      <c r="K29" s="3">
        <f t="shared" si="4"/>
        <v>1188.4406457147238</v>
      </c>
      <c r="L29" s="3">
        <f t="shared" si="4"/>
        <v>1263.8169040006135</v>
      </c>
      <c r="M29" s="3">
        <f t="shared" si="4"/>
        <v>1339.1931622865029</v>
      </c>
    </row>
    <row r="30" spans="2:13" x14ac:dyDescent="0.2">
      <c r="B30" s="1">
        <f t="shared" si="3"/>
        <v>5.7500000000000016E-2</v>
      </c>
      <c r="C30" s="3">
        <f t="shared" si="2"/>
        <v>571.73692233816644</v>
      </c>
      <c r="D30" s="3">
        <f t="shared" si="4"/>
        <v>646.21745758370264</v>
      </c>
      <c r="E30" s="3">
        <f t="shared" si="4"/>
        <v>720.69799282923896</v>
      </c>
      <c r="F30" s="3">
        <f t="shared" si="4"/>
        <v>795.17852807477516</v>
      </c>
      <c r="G30" s="3">
        <f t="shared" si="4"/>
        <v>869.65906332031147</v>
      </c>
      <c r="H30" s="3">
        <f t="shared" si="4"/>
        <v>944.13959856584768</v>
      </c>
      <c r="I30" s="3">
        <f t="shared" si="4"/>
        <v>1018.620133811384</v>
      </c>
      <c r="J30" s="3">
        <f t="shared" si="4"/>
        <v>1093.1006690569202</v>
      </c>
      <c r="K30" s="3">
        <f t="shared" si="4"/>
        <v>1167.5812043024564</v>
      </c>
      <c r="L30" s="3">
        <f t="shared" si="4"/>
        <v>1242.0617395479926</v>
      </c>
      <c r="M30" s="3">
        <f t="shared" si="4"/>
        <v>1316.5422747935288</v>
      </c>
    </row>
    <row r="31" spans="2:13" x14ac:dyDescent="0.2">
      <c r="B31" s="1">
        <f t="shared" si="3"/>
        <v>6.0000000000000019E-2</v>
      </c>
      <c r="C31" s="3">
        <f t="shared" si="2"/>
        <v>558.39477691511786</v>
      </c>
      <c r="D31" s="3">
        <f t="shared" si="4"/>
        <v>631.99564742926486</v>
      </c>
      <c r="E31" s="3">
        <f t="shared" si="4"/>
        <v>705.59651794341187</v>
      </c>
      <c r="F31" s="3">
        <f t="shared" si="4"/>
        <v>779.19738845755887</v>
      </c>
      <c r="G31" s="3">
        <f t="shared" si="4"/>
        <v>852.79825897170588</v>
      </c>
      <c r="H31" s="3">
        <f t="shared" si="4"/>
        <v>926.39912948585288</v>
      </c>
      <c r="I31" s="3">
        <f t="shared" si="4"/>
        <v>999.99999999999989</v>
      </c>
      <c r="J31" s="3">
        <f t="shared" si="4"/>
        <v>1073.6008705141469</v>
      </c>
      <c r="K31" s="3">
        <f t="shared" si="4"/>
        <v>1147.201741028294</v>
      </c>
      <c r="L31" s="3">
        <f t="shared" si="4"/>
        <v>1220.8026115424409</v>
      </c>
      <c r="M31" s="3">
        <f t="shared" si="4"/>
        <v>1294.403482056588</v>
      </c>
    </row>
    <row r="32" spans="2:13" x14ac:dyDescent="0.2">
      <c r="B32" s="1">
        <f t="shared" si="3"/>
        <v>6.2500000000000014E-2</v>
      </c>
      <c r="C32" s="3">
        <f t="shared" si="2"/>
        <v>545.39432263714582</v>
      </c>
      <c r="D32" s="3">
        <f t="shared" si="4"/>
        <v>618.1312310152025</v>
      </c>
      <c r="E32" s="3">
        <f t="shared" si="4"/>
        <v>690.86813939325918</v>
      </c>
      <c r="F32" s="3">
        <f t="shared" si="4"/>
        <v>763.60504777131587</v>
      </c>
      <c r="G32" s="3">
        <f t="shared" si="4"/>
        <v>836.34195614937255</v>
      </c>
      <c r="H32" s="3">
        <f t="shared" si="4"/>
        <v>909.078864527429</v>
      </c>
      <c r="I32" s="3">
        <f t="shared" si="4"/>
        <v>981.8157729054858</v>
      </c>
      <c r="J32" s="3">
        <f t="shared" si="4"/>
        <v>1054.5526812835424</v>
      </c>
      <c r="K32" s="3">
        <f t="shared" si="4"/>
        <v>1127.2895896615992</v>
      </c>
      <c r="L32" s="3">
        <f t="shared" si="4"/>
        <v>1200.0264980396557</v>
      </c>
      <c r="M32" s="3">
        <f t="shared" si="4"/>
        <v>1272.7634064177123</v>
      </c>
    </row>
    <row r="33" spans="2:13" x14ac:dyDescent="0.2">
      <c r="B33" s="1">
        <f t="shared" si="3"/>
        <v>6.5000000000000016E-2</v>
      </c>
      <c r="C33" s="3">
        <f t="shared" si="2"/>
        <v>532.72603552052897</v>
      </c>
      <c r="D33" s="3">
        <f t="shared" si="4"/>
        <v>604.61433774813986</v>
      </c>
      <c r="E33" s="3">
        <f t="shared" si="4"/>
        <v>676.50263997575075</v>
      </c>
      <c r="F33" s="3">
        <f t="shared" si="4"/>
        <v>748.39094220336165</v>
      </c>
      <c r="G33" s="3">
        <f t="shared" si="4"/>
        <v>820.27924443097254</v>
      </c>
      <c r="H33" s="3">
        <f t="shared" si="4"/>
        <v>892.16754665858355</v>
      </c>
      <c r="I33" s="3">
        <f t="shared" si="4"/>
        <v>964.05584888619455</v>
      </c>
      <c r="J33" s="3">
        <f t="shared" si="4"/>
        <v>1035.9441511138052</v>
      </c>
      <c r="K33" s="3">
        <f t="shared" si="4"/>
        <v>1107.8324533414163</v>
      </c>
      <c r="L33" s="3">
        <f t="shared" si="4"/>
        <v>1179.7207555690272</v>
      </c>
      <c r="M33" s="3">
        <f t="shared" si="4"/>
        <v>1251.6090577966379</v>
      </c>
    </row>
    <row r="34" spans="2:13" x14ac:dyDescent="0.2">
      <c r="B34" s="1">
        <f t="shared" si="3"/>
        <v>6.7500000000000018E-2</v>
      </c>
      <c r="C34" s="3">
        <f t="shared" si="2"/>
        <v>520.38067849857703</v>
      </c>
      <c r="D34" s="3">
        <f t="shared" si="4"/>
        <v>591.435392795084</v>
      </c>
      <c r="E34" s="3">
        <f t="shared" si="4"/>
        <v>662.4901070915912</v>
      </c>
      <c r="F34" s="3">
        <f t="shared" si="4"/>
        <v>733.54482138809828</v>
      </c>
      <c r="G34" s="3">
        <f t="shared" si="4"/>
        <v>804.59953568460537</v>
      </c>
      <c r="H34" s="3">
        <f t="shared" si="4"/>
        <v>875.65424998111246</v>
      </c>
      <c r="I34" s="3">
        <f t="shared" si="4"/>
        <v>946.70896427761966</v>
      </c>
      <c r="J34" s="3">
        <f t="shared" si="4"/>
        <v>1017.7636785741266</v>
      </c>
      <c r="K34" s="3">
        <f t="shared" si="4"/>
        <v>1088.8183928706339</v>
      </c>
      <c r="L34" s="3">
        <f t="shared" si="4"/>
        <v>1159.8731071671409</v>
      </c>
      <c r="M34" s="3">
        <f t="shared" si="4"/>
        <v>1230.9278214636479</v>
      </c>
    </row>
    <row r="35" spans="2:13" x14ac:dyDescent="0.2">
      <c r="B35" s="1">
        <f t="shared" si="3"/>
        <v>7.0000000000000021E-2</v>
      </c>
      <c r="C35" s="3">
        <f t="shared" si="2"/>
        <v>508.34929213471781</v>
      </c>
      <c r="D35" s="3">
        <f t="shared" si="4"/>
        <v>578.58510754404381</v>
      </c>
      <c r="E35" s="3">
        <f t="shared" si="4"/>
        <v>648.82092295336986</v>
      </c>
      <c r="F35" s="3">
        <f t="shared" si="4"/>
        <v>719.0567383626958</v>
      </c>
      <c r="G35" s="3">
        <f t="shared" si="4"/>
        <v>789.29255377202185</v>
      </c>
      <c r="H35" s="3">
        <f t="shared" si="4"/>
        <v>859.5283691813479</v>
      </c>
      <c r="I35" s="3">
        <f t="shared" si="4"/>
        <v>929.76418459067384</v>
      </c>
      <c r="J35" s="3">
        <f t="shared" si="4"/>
        <v>999.99999999999989</v>
      </c>
      <c r="K35" s="3">
        <f t="shared" si="4"/>
        <v>1070.2358154093258</v>
      </c>
      <c r="L35" s="3">
        <f t="shared" si="4"/>
        <v>1140.4716308186519</v>
      </c>
      <c r="M35" s="3">
        <f t="shared" si="4"/>
        <v>1210.7074462279777</v>
      </c>
    </row>
    <row r="36" spans="2:13" x14ac:dyDescent="0.2">
      <c r="B36" s="1">
        <f t="shared" si="3"/>
        <v>7.2500000000000023E-2</v>
      </c>
      <c r="C36" s="3">
        <f t="shared" si="2"/>
        <v>496.62318565689264</v>
      </c>
      <c r="D36" s="3">
        <f t="shared" si="4"/>
        <v>566.05447039387298</v>
      </c>
      <c r="E36" s="3">
        <f t="shared" si="4"/>
        <v>635.48575513085325</v>
      </c>
      <c r="F36" s="3">
        <f t="shared" si="4"/>
        <v>704.91703986783352</v>
      </c>
      <c r="G36" s="3">
        <f t="shared" si="4"/>
        <v>774.3483246048138</v>
      </c>
      <c r="H36" s="3">
        <f t="shared" si="4"/>
        <v>843.77960934179418</v>
      </c>
      <c r="I36" s="3">
        <f t="shared" si="4"/>
        <v>913.21089407877446</v>
      </c>
      <c r="J36" s="3">
        <f t="shared" si="4"/>
        <v>982.64217881575473</v>
      </c>
      <c r="K36" s="3">
        <f t="shared" si="4"/>
        <v>1052.0734635527349</v>
      </c>
      <c r="L36" s="3">
        <f t="shared" si="4"/>
        <v>1121.5047482897155</v>
      </c>
      <c r="M36" s="3">
        <f t="shared" si="4"/>
        <v>1190.9360330266954</v>
      </c>
    </row>
    <row r="37" spans="2:13" x14ac:dyDescent="0.2">
      <c r="B37" s="1">
        <f t="shared" si="3"/>
        <v>7.5000000000000025E-2</v>
      </c>
      <c r="C37" s="3">
        <f t="shared" si="2"/>
        <v>485.19392830146438</v>
      </c>
      <c r="D37" s="3">
        <f t="shared" si="4"/>
        <v>553.8347378612691</v>
      </c>
      <c r="E37" s="3">
        <f t="shared" si="4"/>
        <v>622.47554742107388</v>
      </c>
      <c r="F37" s="3">
        <f t="shared" si="4"/>
        <v>691.11635698087855</v>
      </c>
      <c r="G37" s="3">
        <f t="shared" si="4"/>
        <v>759.75716654068333</v>
      </c>
      <c r="H37" s="3">
        <f t="shared" si="4"/>
        <v>828.39797610048799</v>
      </c>
      <c r="I37" s="3">
        <f t="shared" si="4"/>
        <v>897.03878566029266</v>
      </c>
      <c r="J37" s="3">
        <f t="shared" si="4"/>
        <v>965.67959522009744</v>
      </c>
      <c r="K37" s="3">
        <f t="shared" si="4"/>
        <v>1034.3204047799022</v>
      </c>
      <c r="L37" s="3">
        <f t="shared" si="4"/>
        <v>1102.9612143397069</v>
      </c>
      <c r="M37" s="3">
        <f t="shared" si="4"/>
        <v>1171.6020238995116</v>
      </c>
    </row>
    <row r="38" spans="2:13" x14ac:dyDescent="0.2">
      <c r="B38" s="1">
        <f t="shared" si="3"/>
        <v>7.7500000000000027E-2</v>
      </c>
      <c r="C38" s="3">
        <f t="shared" si="2"/>
        <v>474.05334095523767</v>
      </c>
      <c r="D38" s="3">
        <f t="shared" si="4"/>
        <v>541.91742599327154</v>
      </c>
      <c r="E38" s="3">
        <f t="shared" si="4"/>
        <v>609.78151103130529</v>
      </c>
      <c r="F38" s="3">
        <f t="shared" si="4"/>
        <v>677.64559606933915</v>
      </c>
      <c r="G38" s="3">
        <f t="shared" si="4"/>
        <v>745.5096811073729</v>
      </c>
      <c r="H38" s="3">
        <f t="shared" si="4"/>
        <v>813.37376614540676</v>
      </c>
      <c r="I38" s="3">
        <f t="shared" si="4"/>
        <v>881.23785118344063</v>
      </c>
      <c r="J38" s="3">
        <f t="shared" si="4"/>
        <v>949.10193622147438</v>
      </c>
      <c r="K38" s="3">
        <f t="shared" si="4"/>
        <v>1016.9660212595081</v>
      </c>
      <c r="L38" s="3">
        <f t="shared" si="4"/>
        <v>1084.8301062975422</v>
      </c>
      <c r="M38" s="3">
        <f t="shared" si="4"/>
        <v>1152.6941913355759</v>
      </c>
    </row>
    <row r="39" spans="2:13" x14ac:dyDescent="0.2">
      <c r="B39" s="1">
        <f t="shared" si="3"/>
        <v>8.0000000000000029E-2</v>
      </c>
      <c r="C39" s="3">
        <f t="shared" si="2"/>
        <v>463.19348808468425</v>
      </c>
      <c r="D39" s="3">
        <f t="shared" si="4"/>
        <v>530.29430207409871</v>
      </c>
      <c r="E39" s="3">
        <f t="shared" si="4"/>
        <v>597.39511606351311</v>
      </c>
      <c r="F39" s="3">
        <f t="shared" si="4"/>
        <v>664.49593005292752</v>
      </c>
      <c r="G39" s="3">
        <f t="shared" si="4"/>
        <v>731.59674404234204</v>
      </c>
      <c r="H39" s="3">
        <f t="shared" si="4"/>
        <v>798.69755803175644</v>
      </c>
      <c r="I39" s="3">
        <f t="shared" si="4"/>
        <v>865.79837202117085</v>
      </c>
      <c r="J39" s="3">
        <f t="shared" si="4"/>
        <v>932.89918601058537</v>
      </c>
      <c r="K39" s="3">
        <f t="shared" si="4"/>
        <v>999.99999999999989</v>
      </c>
      <c r="L39" s="3">
        <f t="shared" si="4"/>
        <v>1067.1008139894143</v>
      </c>
      <c r="M39" s="3">
        <f t="shared" si="4"/>
        <v>1134.2016279788286</v>
      </c>
    </row>
    <row r="40" spans="2:13" x14ac:dyDescent="0.2">
      <c r="B40" s="1">
        <f t="shared" si="3"/>
        <v>8.2500000000000032E-2</v>
      </c>
      <c r="C40" s="3">
        <f t="shared" si="2"/>
        <v>452.60666994185436</v>
      </c>
      <c r="D40" s="3">
        <f t="shared" si="4"/>
        <v>518.95737661556893</v>
      </c>
      <c r="E40" s="3">
        <f t="shared" si="4"/>
        <v>585.30808328928356</v>
      </c>
      <c r="F40" s="3">
        <f t="shared" si="4"/>
        <v>651.65878996299818</v>
      </c>
      <c r="G40" s="3">
        <f t="shared" si="4"/>
        <v>718.00949663671281</v>
      </c>
      <c r="H40" s="3">
        <f t="shared" si="4"/>
        <v>784.36020331042744</v>
      </c>
      <c r="I40" s="3">
        <f t="shared" si="4"/>
        <v>850.71090998414195</v>
      </c>
      <c r="J40" s="3">
        <f t="shared" si="4"/>
        <v>917.06161665785646</v>
      </c>
      <c r="K40" s="3">
        <f t="shared" si="4"/>
        <v>983.4123233315712</v>
      </c>
      <c r="L40" s="3">
        <f t="shared" si="4"/>
        <v>1049.7630300052856</v>
      </c>
      <c r="M40" s="3">
        <f t="shared" si="4"/>
        <v>1116.1137366790001</v>
      </c>
    </row>
    <row r="41" spans="2:13" x14ac:dyDescent="0.2">
      <c r="B41" s="1">
        <f t="shared" si="3"/>
        <v>8.5000000000000034E-2</v>
      </c>
      <c r="C41" s="3">
        <f t="shared" si="2"/>
        <v>442.2854150368953</v>
      </c>
      <c r="D41" s="3">
        <f t="shared" si="4"/>
        <v>507.89889562078992</v>
      </c>
      <c r="E41" s="3">
        <f t="shared" si="4"/>
        <v>573.51237620468453</v>
      </c>
      <c r="F41" s="3">
        <f t="shared" si="4"/>
        <v>639.1258567885792</v>
      </c>
      <c r="G41" s="3">
        <f t="shared" si="4"/>
        <v>704.73933737247387</v>
      </c>
      <c r="H41" s="3">
        <f t="shared" si="4"/>
        <v>770.35281795636843</v>
      </c>
      <c r="I41" s="3">
        <f t="shared" si="4"/>
        <v>835.9662985402631</v>
      </c>
      <c r="J41" s="3">
        <f t="shared" si="4"/>
        <v>901.57977912415777</v>
      </c>
      <c r="K41" s="3">
        <f t="shared" si="4"/>
        <v>967.19325970805244</v>
      </c>
      <c r="L41" s="3">
        <f t="shared" si="4"/>
        <v>1032.8067402919471</v>
      </c>
      <c r="M41" s="3">
        <f t="shared" si="4"/>
        <v>1098.4202208758418</v>
      </c>
    </row>
    <row r="42" spans="2:13" x14ac:dyDescent="0.2">
      <c r="B42" s="1">
        <f t="shared" si="3"/>
        <v>8.7500000000000036E-2</v>
      </c>
      <c r="C42" s="3">
        <f t="shared" si="2"/>
        <v>432.22247286746136</v>
      </c>
      <c r="D42" s="3">
        <f t="shared" si="4"/>
        <v>497.11133311118004</v>
      </c>
      <c r="E42" s="3">
        <f t="shared" si="4"/>
        <v>562.00019335489867</v>
      </c>
      <c r="F42" s="3">
        <f t="shared" si="4"/>
        <v>626.88905359861735</v>
      </c>
      <c r="G42" s="3">
        <f t="shared" si="4"/>
        <v>691.77791384233603</v>
      </c>
      <c r="H42" s="3">
        <f t="shared" si="4"/>
        <v>756.66677408605483</v>
      </c>
      <c r="I42" s="3">
        <f t="shared" si="4"/>
        <v>821.55563432977351</v>
      </c>
      <c r="J42" s="3">
        <f t="shared" si="4"/>
        <v>886.44449457349208</v>
      </c>
      <c r="K42" s="3">
        <f t="shared" si="4"/>
        <v>951.33335481721087</v>
      </c>
      <c r="L42" s="3">
        <f t="shared" si="4"/>
        <v>1016.2222150609296</v>
      </c>
      <c r="M42" s="3">
        <f t="shared" si="4"/>
        <v>1081.111075304648</v>
      </c>
    </row>
    <row r="43" spans="2:13" x14ac:dyDescent="0.2">
      <c r="B43" s="1">
        <f t="shared" si="3"/>
        <v>9.0000000000000038E-2</v>
      </c>
      <c r="C43" s="3">
        <f t="shared" si="2"/>
        <v>422.41080689568889</v>
      </c>
      <c r="D43" s="3">
        <f t="shared" si="4"/>
        <v>486.58738390727905</v>
      </c>
      <c r="E43" s="3">
        <f t="shared" si="4"/>
        <v>550.7639609188692</v>
      </c>
      <c r="F43" s="3">
        <f t="shared" si="4"/>
        <v>614.94053793045919</v>
      </c>
      <c r="G43" s="3">
        <f t="shared" si="4"/>
        <v>679.11711494204928</v>
      </c>
      <c r="H43" s="3">
        <f t="shared" si="4"/>
        <v>743.29369195363938</v>
      </c>
      <c r="I43" s="3">
        <f t="shared" si="4"/>
        <v>807.47026896522959</v>
      </c>
      <c r="J43" s="3">
        <f t="shared" si="4"/>
        <v>871.64684597681946</v>
      </c>
      <c r="K43" s="3">
        <f t="shared" si="4"/>
        <v>935.82342298840967</v>
      </c>
      <c r="L43" s="3">
        <f t="shared" si="4"/>
        <v>999.99999999999977</v>
      </c>
      <c r="M43" s="3">
        <f t="shared" si="4"/>
        <v>1064.1765770115896</v>
      </c>
    </row>
    <row r="44" spans="2:13" x14ac:dyDescent="0.2">
      <c r="B44" s="1">
        <f t="shared" si="3"/>
        <v>9.2500000000000041E-2</v>
      </c>
      <c r="C44" s="3">
        <f t="shared" si="2"/>
        <v>412.84358776376132</v>
      </c>
      <c r="D44" s="3">
        <f t="shared" si="4"/>
        <v>476.31995665416554</v>
      </c>
      <c r="E44" s="3">
        <f t="shared" si="4"/>
        <v>539.79632554456964</v>
      </c>
      <c r="F44" s="3">
        <f t="shared" si="4"/>
        <v>603.2726944349738</v>
      </c>
      <c r="G44" s="3">
        <f t="shared" si="4"/>
        <v>666.74906332537796</v>
      </c>
      <c r="H44" s="3">
        <f t="shared" si="4"/>
        <v>730.22543221578212</v>
      </c>
      <c r="I44" s="3">
        <f t="shared" si="4"/>
        <v>793.70180110618628</v>
      </c>
      <c r="J44" s="3">
        <f t="shared" si="4"/>
        <v>857.17816999659044</v>
      </c>
      <c r="K44" s="3">
        <f t="shared" si="4"/>
        <v>920.6545388869946</v>
      </c>
      <c r="L44" s="3">
        <f t="shared" si="4"/>
        <v>984.13090777739865</v>
      </c>
      <c r="M44" s="3">
        <f t="shared" si="4"/>
        <v>1047.6072766678026</v>
      </c>
    </row>
    <row r="45" spans="2:13" x14ac:dyDescent="0.2">
      <c r="B45" s="1">
        <f t="shared" si="3"/>
        <v>9.5000000000000043E-2</v>
      </c>
      <c r="C45" s="3">
        <f t="shared" si="2"/>
        <v>403.51418673944443</v>
      </c>
      <c r="D45" s="3">
        <f t="shared" ref="D45:M47" si="5">ABS(PV($B45, $B$3, $B$2*D$6, $B$2, 0))</f>
        <v>466.30216708266073</v>
      </c>
      <c r="E45" s="3">
        <f t="shared" si="5"/>
        <v>529.09014742587715</v>
      </c>
      <c r="F45" s="3">
        <f t="shared" si="5"/>
        <v>591.87812776909345</v>
      </c>
      <c r="G45" s="3">
        <f t="shared" si="5"/>
        <v>654.66610811230987</v>
      </c>
      <c r="H45" s="3">
        <f t="shared" si="5"/>
        <v>717.45408845552618</v>
      </c>
      <c r="I45" s="3">
        <f t="shared" si="5"/>
        <v>780.24206879874248</v>
      </c>
      <c r="J45" s="3">
        <f t="shared" si="5"/>
        <v>843.03004914195901</v>
      </c>
      <c r="K45" s="3">
        <f t="shared" si="5"/>
        <v>905.81802948517532</v>
      </c>
      <c r="L45" s="3">
        <f t="shared" si="5"/>
        <v>968.60600982839162</v>
      </c>
      <c r="M45" s="3">
        <f t="shared" si="5"/>
        <v>1031.3939901716078</v>
      </c>
    </row>
    <row r="46" spans="2:13" x14ac:dyDescent="0.2">
      <c r="B46" s="1">
        <f t="shared" si="3"/>
        <v>9.7500000000000045E-2</v>
      </c>
      <c r="C46" s="3">
        <f t="shared" si="2"/>
        <v>394.41616938328929</v>
      </c>
      <c r="D46" s="3">
        <f t="shared" si="5"/>
        <v>456.5273314978237</v>
      </c>
      <c r="E46" s="3">
        <f t="shared" si="5"/>
        <v>518.63849361235816</v>
      </c>
      <c r="F46" s="3">
        <f t="shared" si="5"/>
        <v>580.74965572689257</v>
      </c>
      <c r="G46" s="3">
        <f t="shared" si="5"/>
        <v>642.86081784142687</v>
      </c>
      <c r="H46" s="3">
        <f t="shared" si="5"/>
        <v>704.97197995596127</v>
      </c>
      <c r="I46" s="3">
        <f t="shared" si="5"/>
        <v>767.0831420704958</v>
      </c>
      <c r="J46" s="3">
        <f t="shared" si="5"/>
        <v>829.19430418503021</v>
      </c>
      <c r="K46" s="3">
        <f t="shared" si="5"/>
        <v>891.3054662995645</v>
      </c>
      <c r="L46" s="3">
        <f t="shared" si="5"/>
        <v>953.41662841409891</v>
      </c>
      <c r="M46" s="3">
        <f t="shared" si="5"/>
        <v>1015.5277905286331</v>
      </c>
    </row>
    <row r="47" spans="2:13" x14ac:dyDescent="0.2">
      <c r="B47" s="1">
        <f t="shared" si="3"/>
        <v>0.10000000000000005</v>
      </c>
      <c r="C47" s="3">
        <f t="shared" si="2"/>
        <v>385.54328942953146</v>
      </c>
      <c r="D47" s="3">
        <f t="shared" si="5"/>
        <v>446.98896048657832</v>
      </c>
      <c r="E47" s="3">
        <f t="shared" si="5"/>
        <v>508.43463154362513</v>
      </c>
      <c r="F47" s="3">
        <f t="shared" si="5"/>
        <v>569.88030260067194</v>
      </c>
      <c r="G47" s="3">
        <f t="shared" si="5"/>
        <v>631.32597365771869</v>
      </c>
      <c r="H47" s="3">
        <f t="shared" si="5"/>
        <v>692.77164471476556</v>
      </c>
      <c r="I47" s="3">
        <f t="shared" si="5"/>
        <v>754.21731577181242</v>
      </c>
      <c r="J47" s="3">
        <f t="shared" si="5"/>
        <v>815.66298682885918</v>
      </c>
      <c r="K47" s="3">
        <f t="shared" si="5"/>
        <v>877.10865788590604</v>
      </c>
      <c r="L47" s="3">
        <f t="shared" si="5"/>
        <v>938.55432894295291</v>
      </c>
      <c r="M47" s="3">
        <f t="shared" si="5"/>
        <v>999.99999999999977</v>
      </c>
    </row>
    <row r="48" spans="2:13" x14ac:dyDescent="0.2">
      <c r="B48" s="2"/>
    </row>
    <row r="49" spans="2:2" x14ac:dyDescent="0.2">
      <c r="B49" s="2"/>
    </row>
  </sheetData>
  <conditionalFormatting sqref="C7:M47">
    <cfRule type="cellIs" dxfId="1" priority="1" operator="lessThan">
      <formula>1000</formula>
    </cfRule>
    <cfRule type="cellIs" dxfId="0" priority="2" operator="greaterThan">
      <formula>1000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1072E-504C-5E40-A0CF-67203E73D5B0}">
  <sheetPr codeName="Sheet2"/>
  <dimension ref="A1:H17"/>
  <sheetViews>
    <sheetView tabSelected="1" workbookViewId="0">
      <selection activeCell="G18" sqref="G18"/>
    </sheetView>
  </sheetViews>
  <sheetFormatPr baseColWidth="10" defaultColWidth="10.83203125" defaultRowHeight="16" x14ac:dyDescent="0.2"/>
  <sheetData>
    <row r="1" spans="1:8" x14ac:dyDescent="0.2">
      <c r="A1" t="s">
        <v>13</v>
      </c>
      <c r="D1" t="s">
        <v>15</v>
      </c>
      <c r="G1" t="s">
        <v>21</v>
      </c>
    </row>
    <row r="2" spans="1:8" x14ac:dyDescent="0.2">
      <c r="A2" t="s">
        <v>4</v>
      </c>
      <c r="B2">
        <v>5000000</v>
      </c>
      <c r="D2" t="s">
        <v>16</v>
      </c>
      <c r="E2">
        <v>100</v>
      </c>
      <c r="G2" t="s">
        <v>10</v>
      </c>
      <c r="H2">
        <f>50+(75-50)*0.15</f>
        <v>53.75</v>
      </c>
    </row>
    <row r="3" spans="1:8" x14ac:dyDescent="0.2">
      <c r="A3" t="s">
        <v>5</v>
      </c>
      <c r="B3">
        <v>2</v>
      </c>
      <c r="D3" t="s">
        <v>17</v>
      </c>
      <c r="E3">
        <v>10</v>
      </c>
      <c r="G3" t="s">
        <v>23</v>
      </c>
      <c r="H3">
        <v>0.15</v>
      </c>
    </row>
    <row r="4" spans="1:8" x14ac:dyDescent="0.2">
      <c r="A4" t="s">
        <v>6</v>
      </c>
      <c r="B4">
        <v>0.09</v>
      </c>
      <c r="D4" t="s">
        <v>6</v>
      </c>
      <c r="E4">
        <v>0.05</v>
      </c>
      <c r="G4" t="s">
        <v>22</v>
      </c>
      <c r="H4">
        <v>75</v>
      </c>
    </row>
    <row r="5" spans="1:8" x14ac:dyDescent="0.2">
      <c r="A5" t="s">
        <v>7</v>
      </c>
      <c r="B5">
        <v>2500000</v>
      </c>
      <c r="D5" t="s">
        <v>8</v>
      </c>
      <c r="E5">
        <v>1</v>
      </c>
      <c r="G5" t="s">
        <v>5</v>
      </c>
      <c r="H5">
        <v>10</v>
      </c>
    </row>
    <row r="6" spans="1:8" x14ac:dyDescent="0.2">
      <c r="A6" t="s">
        <v>8</v>
      </c>
      <c r="B6">
        <v>1</v>
      </c>
      <c r="D6" t="s">
        <v>18</v>
      </c>
      <c r="E6" cm="1">
        <f t="array" ref="E6">PVLGP(E2,E3,E4,E5)</f>
        <v>6199.9999999999991</v>
      </c>
      <c r="G6" t="s">
        <v>6</v>
      </c>
      <c r="H6">
        <v>0.09</v>
      </c>
    </row>
    <row r="7" spans="1:8" x14ac:dyDescent="0.2">
      <c r="A7" t="s">
        <v>9</v>
      </c>
      <c r="B7" cm="1">
        <f t="array" ref="B7">PVA(B2,B3,B4,B5,B6)</f>
        <v>10899755.912801959</v>
      </c>
      <c r="G7" t="s">
        <v>8</v>
      </c>
      <c r="H7">
        <v>1</v>
      </c>
    </row>
    <row r="8" spans="1:8" x14ac:dyDescent="0.2">
      <c r="G8" t="s">
        <v>24</v>
      </c>
      <c r="H8" cm="1">
        <f t="array" ref="H8">PVMRA(H2,H3,H4,H5,H6,H7)</f>
        <v>400.14595202395429</v>
      </c>
    </row>
    <row r="10" spans="1:8" x14ac:dyDescent="0.2">
      <c r="A10" t="s">
        <v>14</v>
      </c>
      <c r="D10" t="s">
        <v>19</v>
      </c>
    </row>
    <row r="11" spans="1:8" x14ac:dyDescent="0.2">
      <c r="A11" t="s">
        <v>10</v>
      </c>
      <c r="B11">
        <v>100</v>
      </c>
      <c r="D11" t="s">
        <v>16</v>
      </c>
      <c r="E11">
        <v>100</v>
      </c>
    </row>
    <row r="12" spans="1:8" x14ac:dyDescent="0.2">
      <c r="A12" t="s">
        <v>5</v>
      </c>
      <c r="B12">
        <v>10</v>
      </c>
      <c r="D12" t="s">
        <v>17</v>
      </c>
      <c r="E12">
        <v>10</v>
      </c>
    </row>
    <row r="13" spans="1:8" x14ac:dyDescent="0.2">
      <c r="A13" t="s">
        <v>6</v>
      </c>
      <c r="B13">
        <v>0.05</v>
      </c>
      <c r="D13" t="s">
        <v>5</v>
      </c>
      <c r="E13">
        <v>10</v>
      </c>
    </row>
    <row r="14" spans="1:8" x14ac:dyDescent="0.2">
      <c r="A14" t="s">
        <v>11</v>
      </c>
      <c r="B14">
        <v>0.05</v>
      </c>
      <c r="D14" t="s">
        <v>6</v>
      </c>
      <c r="E14">
        <v>0.05</v>
      </c>
    </row>
    <row r="15" spans="1:8" x14ac:dyDescent="0.2">
      <c r="A15" t="s">
        <v>7</v>
      </c>
      <c r="B15">
        <v>0</v>
      </c>
      <c r="D15" t="s">
        <v>8</v>
      </c>
      <c r="E15">
        <v>1</v>
      </c>
    </row>
    <row r="16" spans="1:8" x14ac:dyDescent="0.2">
      <c r="A16" t="s">
        <v>8</v>
      </c>
      <c r="B16">
        <v>1</v>
      </c>
      <c r="D16" t="s">
        <v>20</v>
      </c>
      <c r="E16" cm="1">
        <f t="array" ref="E16">PVLGA(E11,E12,E13,E14,E15)</f>
        <v>1165.9113209657744</v>
      </c>
    </row>
    <row r="17" spans="1:2" x14ac:dyDescent="0.2">
      <c r="A17" t="s">
        <v>12</v>
      </c>
      <c r="B17" cm="1">
        <f t="array" ref="B17">PVGA(B11,B12,B13,B14,B15,B16)</f>
        <v>952.38095238095241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Exercise A</vt:lpstr>
      <vt:lpstr>Exercise 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2020-02-18T16:45:59Z</dcterms:created>
  <dcterms:modified xsi:type="dcterms:W3CDTF">2020-02-21T03:18:00Z</dcterms:modified>
</cp:coreProperties>
</file>